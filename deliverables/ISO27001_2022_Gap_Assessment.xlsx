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shboard" sheetId="2" state="visible" r:id="rId4"/>
    <sheet name="Gap Assessment Matrix" sheetId="3" state="visible" r:id="rId5"/>
    <sheet name="Remediation Roadmap" sheetId="4" state="visible" r:id="rId6"/>
    <sheet name="Reference 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<sst xmlns="http://schemas.openxmlformats.org/spreadsheetml/2006/main" count="772" uniqueCount="294">
  <si>
    <t xml:space="preserve">ISO/IEC 27001:2022 Gap Assessment</t>
  </si>
  <si>
    <t xml:space="preserve">Annex A Control Gap Assessment &amp; Remediation Roadmap</t>
  </si>
  <si>
    <t xml:space="preserve">Client (fictional)</t>
  </si>
  <si>
    <t xml:space="preserve">Meridian Analytics Ltd</t>
  </si>
  <si>
    <t xml:space="preserve">Scope</t>
  </si>
  <si>
    <t xml:space="preserve">Meridian Analytics' SaaS analytics platform, corporate IT, and supporting business processes (UK head office + remote workforce)</t>
  </si>
  <si>
    <t xml:space="preserve">Assessment date</t>
  </si>
  <si>
    <t xml:space="preserve">Assessor</t>
  </si>
  <si>
    <t xml:space="preserve">Sanika Mahamulkar</t>
  </si>
  <si>
    <t xml:space="preserve">Context</t>
  </si>
  <si>
    <t xml:space="preserve">Meridian Analytics holds ISO/IEC 27001:2013 certification. This assessment was performed ahead of the transition audit to the 2022 revision, to identify gaps against the restructured Annex A control set before the Stage 2 transition audit.</t>
  </si>
  <si>
    <t xml:space="preserve">Maturity Rating Legend</t>
  </si>
  <si>
    <t xml:space="preserve">Not Implemented (0)</t>
  </si>
  <si>
    <t xml:space="preserve">No control activity in place.</t>
  </si>
  <si>
    <t xml:space="preserve">Ad Hoc (1)</t>
  </si>
  <si>
    <t xml:space="preserve">Control activity occurs informally, with no defined process.</t>
  </si>
  <si>
    <t xml:space="preserve">Partially Implemented (2)</t>
  </si>
  <si>
    <t xml:space="preserve">Control is in place but incomplete, inconsistent, or not technically enforced.</t>
  </si>
  <si>
    <t xml:space="preserve">Implemented - Not Reviewed (3)</t>
  </si>
  <si>
    <t xml:space="preserve">Control is fully operating but has not yet had a formal effectiveness review.</t>
  </si>
  <si>
    <t xml:space="preserve">Implemented - Reviewed &amp; Effective (4)</t>
  </si>
  <si>
    <t xml:space="preserve">Control is operating and has been reviewed/evidenced as effective.</t>
  </si>
  <si>
    <t xml:space="preserve">Priority / Remediation SLA Legend</t>
  </si>
  <si>
    <t xml:space="preserve">High</t>
  </si>
  <si>
    <t xml:space="preserve">Target remediation within 60 days of assessment date.</t>
  </si>
  <si>
    <t xml:space="preserve">Medium</t>
  </si>
  <si>
    <t xml:space="preserve">Target remediation within 120 days of assessment date.</t>
  </si>
  <si>
    <t xml:space="preserve">Low</t>
  </si>
  <si>
    <t xml:space="preserve">Target remediation within 180 days of assessment date; typically a formal-review gap rather than a true control gap.</t>
  </si>
  <si>
    <t xml:space="preserve">N/A - Maintain</t>
  </si>
  <si>
    <t xml:space="preserve">Control is mature; no remediation required, maintain and re-review periodically.</t>
  </si>
  <si>
    <t xml:space="preserve">Note</t>
  </si>
  <si>
    <t xml:space="preserve">This is a self-directed portfolio project modelling a real ISO/IEC 27001:2022 Annex A gap assessment methodology against a fictional company. All findings, maturity ratings, and dates are illustrative.</t>
  </si>
  <si>
    <t xml:space="preserve">ISO/IEC 27001:2022 Gap Assessment - Dashboard</t>
  </si>
  <si>
    <t xml:space="preserve">Total controls assessed</t>
  </si>
  <si>
    <t xml:space="preserve">Findings requiring action (High + Medium priority)</t>
  </si>
  <si>
    <t xml:space="preserve">Overall average maturity score (0-4 scale)</t>
  </si>
  <si>
    <t xml:space="preserve">Percent of controls at maturity 3 or 4</t>
  </si>
  <si>
    <t xml:space="preserve">Controls by Theme and Maturity</t>
  </si>
  <si>
    <t xml:space="preserve">Theme</t>
  </si>
  <si>
    <t xml:space="preserve">Not Implemented</t>
  </si>
  <si>
    <t xml:space="preserve">Ad Hoc</t>
  </si>
  <si>
    <t xml:space="preserve">Partially Implemented</t>
  </si>
  <si>
    <t xml:space="preserve">Implemented - Not Reviewed</t>
  </si>
  <si>
    <t xml:space="preserve">Implemented - Reviewed &amp; Effective</t>
  </si>
  <si>
    <t xml:space="preserve">Organizational</t>
  </si>
  <si>
    <t xml:space="preserve">People</t>
  </si>
  <si>
    <t xml:space="preserve">Physical</t>
  </si>
  <si>
    <t xml:space="preserve">Technological</t>
  </si>
  <si>
    <t xml:space="preserve">Findings by Priority</t>
  </si>
  <si>
    <t xml:space="preserve">Priority</t>
  </si>
  <si>
    <t xml:space="preserve">Count</t>
  </si>
  <si>
    <t xml:space="preserve">ISO/IEC 27001:2022 Annex A - Gap Assessment Matrix (93 controls)</t>
  </si>
  <si>
    <t xml:space="preserve">Control ID</t>
  </si>
  <si>
    <t xml:space="preserve">Control Name</t>
  </si>
  <si>
    <t xml:space="preserve">Current Maturity</t>
  </si>
  <si>
    <t xml:space="preserve">Evidence / Notes</t>
  </si>
  <si>
    <t xml:space="preserve">Gap Description</t>
  </si>
  <si>
    <t xml:space="preserve">Target Remediation Date</t>
  </si>
  <si>
    <t xml:space="preserve">Owner</t>
  </si>
  <si>
    <t xml:space="preserve">Maturity Score</t>
  </si>
  <si>
    <t xml:space="preserve">5.1</t>
  </si>
  <si>
    <t xml:space="preserve">Policies for information security</t>
  </si>
  <si>
    <t xml:space="preserve">Documented in the Information Security Policy Suite (v3.2); reviewed annually by the GRC team.</t>
  </si>
  <si>
    <t xml:space="preserve">Head of GRC</t>
  </si>
  <si>
    <t xml:space="preserve">5.2</t>
  </si>
  <si>
    <t xml:space="preserve">Information security roles and responsibilities</t>
  </si>
  <si>
    <t xml:space="preserve">Process operating and evidenced via records reviewed during the last internal audit.</t>
  </si>
  <si>
    <t xml:space="preserve">5.3</t>
  </si>
  <si>
    <t xml:space="preserve">Segregation of duties</t>
  </si>
  <si>
    <t xml:space="preserve">Control embedded in the ISMS Manual; last reviewed at the most recent management review meeting.</t>
  </si>
  <si>
    <t xml:space="preserve">5.4</t>
  </si>
  <si>
    <t xml:space="preserve">Management responsibilities</t>
  </si>
  <si>
    <t xml:space="preserve">Evidenced via signed records retained in the document management system.</t>
  </si>
  <si>
    <t xml:space="preserve">5.5</t>
  </si>
  <si>
    <t xml:space="preserve">Contact with authorities</t>
  </si>
  <si>
    <t xml:space="preserve">Control operating; formal review/re-attestation not yet scheduled.</t>
  </si>
  <si>
    <t xml:space="preserve">5.6</t>
  </si>
  <si>
    <t xml:space="preserve">Contact with special interest groups</t>
  </si>
  <si>
    <t xml:space="preserve">5.7</t>
  </si>
  <si>
    <t xml:space="preserve">Threat intelligence</t>
  </si>
  <si>
    <t xml:space="preserve">No formal threat intelligence process; ad hoc use of vendor security bulletins only.</t>
  </si>
  <si>
    <t xml:space="preserve">5.8</t>
  </si>
  <si>
    <t xml:space="preserve">Information security in project management</t>
  </si>
  <si>
    <t xml:space="preserve">5.9</t>
  </si>
  <si>
    <t xml:space="preserve">Inventory of information and other associated assets</t>
  </si>
  <si>
    <t xml:space="preserve">5.10</t>
  </si>
  <si>
    <t xml:space="preserve">Acceptable use of information and other associated assets</t>
  </si>
  <si>
    <t xml:space="preserve">5.11</t>
  </si>
  <si>
    <t xml:space="preserve">Return of assets</t>
  </si>
  <si>
    <t xml:space="preserve">5.12</t>
  </si>
  <si>
    <t xml:space="preserve">Classification of information</t>
  </si>
  <si>
    <t xml:space="preserve">5.13</t>
  </si>
  <si>
    <t xml:space="preserve">Labelling of information</t>
  </si>
  <si>
    <t xml:space="preserve">5.14</t>
  </si>
  <si>
    <t xml:space="preserve">Information transfer</t>
  </si>
  <si>
    <t xml:space="preserve">5.15</t>
  </si>
  <si>
    <t xml:space="preserve">Access control</t>
  </si>
  <si>
    <t xml:space="preserve">5.16</t>
  </si>
  <si>
    <t xml:space="preserve">Identity management</t>
  </si>
  <si>
    <t xml:space="preserve">5.17</t>
  </si>
  <si>
    <t xml:space="preserve">Authentication information</t>
  </si>
  <si>
    <t xml:space="preserve">5.18</t>
  </si>
  <si>
    <t xml:space="preserve">Access rights</t>
  </si>
  <si>
    <t xml:space="preserve">5.19</t>
  </si>
  <si>
    <t xml:space="preserve">Information security in supplier relationships</t>
  </si>
  <si>
    <t xml:space="preserve">Vendor &amp; Procurement Manager</t>
  </si>
  <si>
    <t xml:space="preserve">5.20</t>
  </si>
  <si>
    <t xml:space="preserve">Addressing information security within supplier agreements</t>
  </si>
  <si>
    <t xml:space="preserve">5.21</t>
  </si>
  <si>
    <t xml:space="preserve">Managing information security in the ICT supply chain</t>
  </si>
  <si>
    <t xml:space="preserve">ICT supply chain risk is not assessed separately from general supplier due diligence.</t>
  </si>
  <si>
    <t xml:space="preserve">5.22</t>
  </si>
  <si>
    <t xml:space="preserve">Monitoring, review, and change management of supplier services</t>
  </si>
  <si>
    <t xml:space="preserve">5.23</t>
  </si>
  <si>
    <t xml:space="preserve">Information security for use of cloud services</t>
  </si>
  <si>
    <t xml:space="preserve">Cloud vendor security is reviewed at onboarding only; no ongoing cloud security governance process.</t>
  </si>
  <si>
    <t xml:space="preserve">5.24</t>
  </si>
  <si>
    <t xml:space="preserve">Information security incident management planning and preparation</t>
  </si>
  <si>
    <t xml:space="preserve">Security Operations Lead</t>
  </si>
  <si>
    <t xml:space="preserve">5.25</t>
  </si>
  <si>
    <t xml:space="preserve">Assessment and decision on information security events</t>
  </si>
  <si>
    <t xml:space="preserve">5.26</t>
  </si>
  <si>
    <t xml:space="preserve">Response to information security incidents</t>
  </si>
  <si>
    <t xml:space="preserve">5.27</t>
  </si>
  <si>
    <t xml:space="preserve">Learning from information security incidents</t>
  </si>
  <si>
    <t xml:space="preserve">5.28</t>
  </si>
  <si>
    <t xml:space="preserve">Collection of evidence</t>
  </si>
  <si>
    <t xml:space="preserve">No documented procedure for collection and preservation of evidence following a security incident.</t>
  </si>
  <si>
    <t xml:space="preserve">5.29</t>
  </si>
  <si>
    <t xml:space="preserve">Information security during disruption</t>
  </si>
  <si>
    <t xml:space="preserve">5.30</t>
  </si>
  <si>
    <t xml:space="preserve">ICT readiness for business continuity</t>
  </si>
  <si>
    <t xml:space="preserve">ICT continuity plan not yet aligned to BIA-derived recovery time/point objectives.</t>
  </si>
  <si>
    <t xml:space="preserve">5.31</t>
  </si>
  <si>
    <t xml:space="preserve">Legal, statutory, regulatory, and contractual requirements</t>
  </si>
  <si>
    <t xml:space="preserve">Data Protection Officer</t>
  </si>
  <si>
    <t xml:space="preserve">5.32</t>
  </si>
  <si>
    <t xml:space="preserve">Intellectual property rights</t>
  </si>
  <si>
    <t xml:space="preserve">Legal Counsel</t>
  </si>
  <si>
    <t xml:space="preserve">5.33</t>
  </si>
  <si>
    <t xml:space="preserve">Protection of records</t>
  </si>
  <si>
    <t xml:space="preserve">5.34</t>
  </si>
  <si>
    <t xml:space="preserve">Privacy and protection of PII</t>
  </si>
  <si>
    <t xml:space="preserve">5.35</t>
  </si>
  <si>
    <t xml:space="preserve">Independent review of information security</t>
  </si>
  <si>
    <t xml:space="preserve">Last independent ISMS review was 19 months ago; no fixed review cadence is defined.</t>
  </si>
  <si>
    <t xml:space="preserve">5.36</t>
  </si>
  <si>
    <t xml:space="preserve">Compliance with policies, rules, and standards</t>
  </si>
  <si>
    <t xml:space="preserve">5.37</t>
  </si>
  <si>
    <t xml:space="preserve">Documented operating procedures</t>
  </si>
  <si>
    <t xml:space="preserve">6.1</t>
  </si>
  <si>
    <t xml:space="preserve">Screening</t>
  </si>
  <si>
    <t xml:space="preserve">Evidenced via HR onboarding/offboarding checklist completion records.</t>
  </si>
  <si>
    <t xml:space="preserve">HR Director</t>
  </si>
  <si>
    <t xml:space="preserve">6.2</t>
  </si>
  <si>
    <t xml:space="preserve">Terms and conditions of employment</t>
  </si>
  <si>
    <t xml:space="preserve">Training completion tracked in the LMS; completion rate above 95% for the last cycle.</t>
  </si>
  <si>
    <t xml:space="preserve">6.3</t>
  </si>
  <si>
    <t xml:space="preserve">Information security awareness, education, and training</t>
  </si>
  <si>
    <t xml:space="preserve">Evidenced via signed employee handbook acknowledgement on file.</t>
  </si>
  <si>
    <t xml:space="preserve">6.4</t>
  </si>
  <si>
    <t xml:space="preserve">Disciplinary process</t>
  </si>
  <si>
    <t xml:space="preserve">6.5</t>
  </si>
  <si>
    <t xml:space="preserve">Responsibilities after termination or change of employment</t>
  </si>
  <si>
    <t xml:space="preserve">6.6</t>
  </si>
  <si>
    <t xml:space="preserve">Confidentiality or non-disclosure agreements</t>
  </si>
  <si>
    <t xml:space="preserve">6.7</t>
  </si>
  <si>
    <t xml:space="preserve">Remote working</t>
  </si>
  <si>
    <t xml:space="preserve">Remote working policy exists but is not technically enforced (e.g. no device posture check).</t>
  </si>
  <si>
    <t xml:space="preserve">6.8</t>
  </si>
  <si>
    <t xml:space="preserve">Information security event reporting</t>
  </si>
  <si>
    <t xml:space="preserve">7.1</t>
  </si>
  <si>
    <t xml:space="preserve">Physical security perimeters</t>
  </si>
  <si>
    <t xml:space="preserve">Evidenced via access control system logs and the visitor register.</t>
  </si>
  <si>
    <t xml:space="preserve">Facilities Manager</t>
  </si>
  <si>
    <t xml:space="preserve">7.2</t>
  </si>
  <si>
    <t xml:space="preserve">Physical entry</t>
  </si>
  <si>
    <t xml:space="preserve">Verified during the last physical security walkthrough.</t>
  </si>
  <si>
    <t xml:space="preserve">7.3</t>
  </si>
  <si>
    <t xml:space="preserve">Securing offices, rooms, and facilities</t>
  </si>
  <si>
    <t xml:space="preserve">Evidenced via facilities maintenance and inspection records.</t>
  </si>
  <si>
    <t xml:space="preserve">7.4</t>
  </si>
  <si>
    <t xml:space="preserve">Physical security monitoring</t>
  </si>
  <si>
    <t xml:space="preserve">CCTV covers the main entrance only; the server room and other secure areas are not monitored.</t>
  </si>
  <si>
    <t xml:space="preserve">7.5</t>
  </si>
  <si>
    <t xml:space="preserve">Protecting against physical and environmental threats</t>
  </si>
  <si>
    <t xml:space="preserve">7.6</t>
  </si>
  <si>
    <t xml:space="preserve">Working in secure areas</t>
  </si>
  <si>
    <t xml:space="preserve">7.7</t>
  </si>
  <si>
    <t xml:space="preserve">Clear desk and clear screen</t>
  </si>
  <si>
    <t xml:space="preserve">7.8</t>
  </si>
  <si>
    <t xml:space="preserve">Equipment siting and protection</t>
  </si>
  <si>
    <t xml:space="preserve">7.9</t>
  </si>
  <si>
    <t xml:space="preserve">Security of assets off-premises</t>
  </si>
  <si>
    <t xml:space="preserve">No formal register of assets used off-premises; reliant on employee self-reporting.</t>
  </si>
  <si>
    <t xml:space="preserve">7.10</t>
  </si>
  <si>
    <t xml:space="preserve">Storage media</t>
  </si>
  <si>
    <t xml:space="preserve">7.11</t>
  </si>
  <si>
    <t xml:space="preserve">Supporting utilities</t>
  </si>
  <si>
    <t xml:space="preserve">7.12</t>
  </si>
  <si>
    <t xml:space="preserve">Cabling security</t>
  </si>
  <si>
    <t xml:space="preserve">7.13</t>
  </si>
  <si>
    <t xml:space="preserve">Equipment maintenance</t>
  </si>
  <si>
    <t xml:space="preserve">7.14</t>
  </si>
  <si>
    <t xml:space="preserve">Secure disposal or re-use of equipment</t>
  </si>
  <si>
    <t xml:space="preserve">8.1</t>
  </si>
  <si>
    <t xml:space="preserve">User endpoint devices</t>
  </si>
  <si>
    <t xml:space="preserve">Enforced via platform configuration; evidenced in the last technical control review.</t>
  </si>
  <si>
    <t xml:space="preserve">IT Security Manager</t>
  </si>
  <si>
    <t xml:space="preserve">8.2</t>
  </si>
  <si>
    <t xml:space="preserve">Privileged access rights</t>
  </si>
  <si>
    <t xml:space="preserve">Automated control; evidenced via configuration export and the monitoring dashboard.</t>
  </si>
  <si>
    <t xml:space="preserve">8.3</t>
  </si>
  <si>
    <t xml:space="preserve">Information access restriction</t>
  </si>
  <si>
    <t xml:space="preserve">Verified via the most recent penetration test / vulnerability scan report.</t>
  </si>
  <si>
    <t xml:space="preserve">8.4</t>
  </si>
  <si>
    <t xml:space="preserve">Access to source code</t>
  </si>
  <si>
    <t xml:space="preserve">Head of Engineering</t>
  </si>
  <si>
    <t xml:space="preserve">8.5</t>
  </si>
  <si>
    <t xml:space="preserve">Secure authentication</t>
  </si>
  <si>
    <t xml:space="preserve">8.6</t>
  </si>
  <si>
    <t xml:space="preserve">Capacity management</t>
  </si>
  <si>
    <t xml:space="preserve">8.7</t>
  </si>
  <si>
    <t xml:space="preserve">Protection against malware</t>
  </si>
  <si>
    <t xml:space="preserve">8.8</t>
  </si>
  <si>
    <t xml:space="preserve">Management of technical vulnerabilities</t>
  </si>
  <si>
    <t xml:space="preserve">Vulnerability scanning is performed quarterly; no formal SLA for remediation by severity.</t>
  </si>
  <si>
    <t xml:space="preserve">8.9</t>
  </si>
  <si>
    <t xml:space="preserve">Configuration management</t>
  </si>
  <si>
    <t xml:space="preserve">No formal secure baseline configuration standard; configurations vary by engineer.</t>
  </si>
  <si>
    <t xml:space="preserve">8.10</t>
  </si>
  <si>
    <t xml:space="preserve">Information deletion</t>
  </si>
  <si>
    <t xml:space="preserve">Deletion occurs on request (e.g. DSAR) but there is no scheduled deletion against the retention schedule.</t>
  </si>
  <si>
    <t xml:space="preserve">8.11</t>
  </si>
  <si>
    <t xml:space="preserve">Data masking</t>
  </si>
  <si>
    <t xml:space="preserve">No data masking applied to production data copied into test/staging environments.</t>
  </si>
  <si>
    <t xml:space="preserve">8.12</t>
  </si>
  <si>
    <t xml:space="preserve">Data leakage prevention</t>
  </si>
  <si>
    <t xml:space="preserve">No data leakage prevention tooling in place; reliance on manual review and the acceptable use policy only.</t>
  </si>
  <si>
    <t xml:space="preserve">8.13</t>
  </si>
  <si>
    <t xml:space="preserve">Information backup</t>
  </si>
  <si>
    <t xml:space="preserve">8.14</t>
  </si>
  <si>
    <t xml:space="preserve">Redundancy of information processing facilities</t>
  </si>
  <si>
    <t xml:space="preserve">8.15</t>
  </si>
  <si>
    <t xml:space="preserve">Logging</t>
  </si>
  <si>
    <t xml:space="preserve">8.16</t>
  </si>
  <si>
    <t xml:space="preserve">Monitoring activities</t>
  </si>
  <si>
    <t xml:space="preserve">No centralised security monitoring/SIEM capability; log review is manual and inconsistent.</t>
  </si>
  <si>
    <t xml:space="preserve">8.17</t>
  </si>
  <si>
    <t xml:space="preserve">Clock synchronization</t>
  </si>
  <si>
    <t xml:space="preserve">8.18</t>
  </si>
  <si>
    <t xml:space="preserve">Use of privileged utility programs</t>
  </si>
  <si>
    <t xml:space="preserve">8.19</t>
  </si>
  <si>
    <t xml:space="preserve">Installation of software on operational systems</t>
  </si>
  <si>
    <t xml:space="preserve">8.20</t>
  </si>
  <si>
    <t xml:space="preserve">Networks security</t>
  </si>
  <si>
    <t xml:space="preserve">8.21</t>
  </si>
  <si>
    <t xml:space="preserve">Security of network services</t>
  </si>
  <si>
    <t xml:space="preserve">8.22</t>
  </si>
  <si>
    <t xml:space="preserve">Segregation of networks</t>
  </si>
  <si>
    <t xml:space="preserve">8.23</t>
  </si>
  <si>
    <t xml:space="preserve">Web filtering</t>
  </si>
  <si>
    <t xml:space="preserve">Web filtering is enabled for malware categories only; no policy-based category filtering.</t>
  </si>
  <si>
    <t xml:space="preserve">8.24</t>
  </si>
  <si>
    <t xml:space="preserve">Use of cryptography</t>
  </si>
  <si>
    <t xml:space="preserve">8.25</t>
  </si>
  <si>
    <t xml:space="preserve">Secure development life cycle</t>
  </si>
  <si>
    <t xml:space="preserve">8.26</t>
  </si>
  <si>
    <t xml:space="preserve">Application security requirements</t>
  </si>
  <si>
    <t xml:space="preserve">8.27</t>
  </si>
  <si>
    <t xml:space="preserve">Secure system architecture and engineering principles</t>
  </si>
  <si>
    <t xml:space="preserve">8.28</t>
  </si>
  <si>
    <t xml:space="preserve">Secure coding</t>
  </si>
  <si>
    <t xml:space="preserve">Secure coding guidelines exist but are not enforced via automated code review or linting.</t>
  </si>
  <si>
    <t xml:space="preserve">8.29</t>
  </si>
  <si>
    <t xml:space="preserve">Security testing in development and acceptance</t>
  </si>
  <si>
    <t xml:space="preserve">8.30</t>
  </si>
  <si>
    <t xml:space="preserve">Outsourced development</t>
  </si>
  <si>
    <t xml:space="preserve">8.31</t>
  </si>
  <si>
    <t xml:space="preserve">Separation of development, test, and production environments</t>
  </si>
  <si>
    <t xml:space="preserve">8.32</t>
  </si>
  <si>
    <t xml:space="preserve">Change management</t>
  </si>
  <si>
    <t xml:space="preserve">8.33</t>
  </si>
  <si>
    <t xml:space="preserve">Test information</t>
  </si>
  <si>
    <t xml:space="preserve">8.34</t>
  </si>
  <si>
    <t xml:space="preserve">Protection of information systems during audit testing</t>
  </si>
  <si>
    <t xml:space="preserve">Remediation Roadmap - Findings Requiring Action</t>
  </si>
  <si>
    <t xml:space="preserve">Status</t>
  </si>
  <si>
    <t xml:space="preserve">Not Started</t>
  </si>
  <si>
    <t xml:space="preserve">Maturity Label</t>
  </si>
  <si>
    <t xml:space="preserve">(unused)</t>
  </si>
  <si>
    <t xml:space="preserve">Score</t>
  </si>
  <si>
    <t xml:space="preserve">Remediation Days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</si>
</sst>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 mmm\ yyyy"/>
    <numFmt numFmtId="166" formatCode="General"/>
    <numFmt numFmtId="167" formatCode="0.00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Calibri"/>
      <family val="0"/>
      <charset val="1"/>
    </font>
    <font>
      <i val="true"/>
      <sz val="11"/>
      <color rgb="FF555555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777777"/>
      <name val="Calibri"/>
      <family val="0"/>
      <charset val="1"/>
    </font>
    <font>
      <b val="true"/>
      <sz val="12"/>
      <color rgb="FF1F2A4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3F0"/>
        <bgColor rgb="FFD9D9D9"/>
      </patternFill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3CD"/>
      <rgbColor rgb="FFDCE3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4F81BD"/>
      <rgbColor rgb="FF4BACC6"/>
      <rgbColor rgb="FF9BBB59"/>
      <rgbColor rgb="FFFFCC00"/>
      <rgbColor rgb="FFFF9900"/>
      <rgbColor rgb="FFFF6600"/>
      <rgbColor rgb="FF8064A2"/>
      <rgbColor rgb="FF777777"/>
      <rgbColor rgb="FF003366"/>
      <rgbColor rgb="FF339966"/>
      <rgbColor rgb="FF003300"/>
      <rgbColor rgb="FF333300"/>
      <rgbColor rgb="FF993300"/>
      <rgbColor rgb="FF993366"/>
      <rgbColor rgb="FF555555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Controls by Theme and Maturity Rating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Dashboard!B10</c:f>
              <c:strCache>
                <c:ptCount val="1"/>
                <c:pt idx="0">
                  <c:v>Not Implemented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Dashboard!$A$11:$A$14</c:f>
              <c:strCache>
                <c:ptCount val="4"/>
                <c:pt idx="0">
                  <c:v>Organizational</c:v>
                </c:pt>
                <c:pt idx="1">
                  <c:v>People</c:v>
                </c:pt>
                <c:pt idx="2">
                  <c:v>Physical</c:v>
                </c:pt>
                <c:pt idx="3">
                  <c:v>Technological</c:v>
                </c:pt>
              </c:strCache>
            </c:strRef>
          </c:cat>
          <c:val>
            <c:numRef>
              <c:f>Dashboard!$B$11:$B$14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</c:ser>
        <c:ser>
          <c:idx val="1"/>
          <c:order val="1"/>
          <c:tx>
            <c:strRef>
              <c:f>Dashboard!C10</c:f>
              <c:strCache>
                <c:ptCount val="1"/>
                <c:pt idx="0">
                  <c:v>Ad Hoc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Dashboard!$A$11:$A$14</c:f>
              <c:strCache>
                <c:ptCount val="4"/>
                <c:pt idx="0">
                  <c:v>Organizational</c:v>
                </c:pt>
                <c:pt idx="1">
                  <c:v>People</c:v>
                </c:pt>
                <c:pt idx="2">
                  <c:v>Physical</c:v>
                </c:pt>
                <c:pt idx="3">
                  <c:v>Technological</c:v>
                </c:pt>
              </c:strCache>
            </c:strRef>
          </c:cat>
          <c:val>
            <c:numRef>
              <c:f>Dashboard!$C$11:$C$14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Dashboard!D10</c:f>
              <c:strCache>
                <c:ptCount val="1"/>
                <c:pt idx="0">
                  <c:v>Partially Implemented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Dashboard!$A$11:$A$14</c:f>
              <c:strCache>
                <c:ptCount val="4"/>
                <c:pt idx="0">
                  <c:v>Organizational</c:v>
                </c:pt>
                <c:pt idx="1">
                  <c:v>People</c:v>
                </c:pt>
                <c:pt idx="2">
                  <c:v>Physical</c:v>
                </c:pt>
                <c:pt idx="3">
                  <c:v>Technological</c:v>
                </c:pt>
              </c:strCache>
            </c:strRef>
          </c:cat>
          <c:val>
            <c:numRef>
              <c:f>Dashboard!$D$11:$D$14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</c:ser>
        <c:ser>
          <c:idx val="3"/>
          <c:order val="3"/>
          <c:tx>
            <c:strRef>
              <c:f>Dashboard!E10</c:f>
              <c:strCache>
                <c:ptCount val="1"/>
                <c:pt idx="0">
                  <c:v>Implemented - Not Reviewed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Dashboard!$A$11:$A$14</c:f>
              <c:strCache>
                <c:ptCount val="4"/>
                <c:pt idx="0">
                  <c:v>Organizational</c:v>
                </c:pt>
                <c:pt idx="1">
                  <c:v>People</c:v>
                </c:pt>
                <c:pt idx="2">
                  <c:v>Physical</c:v>
                </c:pt>
                <c:pt idx="3">
                  <c:v>Technological</c:v>
                </c:pt>
              </c:strCache>
            </c:strRef>
          </c:cat>
          <c:val>
            <c:numRef>
              <c:f>Dashboard!$E$11:$E$14</c:f>
              <c:numCache>
                <c:formatCode>General</c:formatCode>
                <c:ptCount val="4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</c:ser>
        <c:ser>
          <c:idx val="4"/>
          <c:order val="4"/>
          <c:tx>
            <c:strRef>
              <c:f>Dashboard!F10</c:f>
              <c:strCache>
                <c:ptCount val="1"/>
                <c:pt idx="0">
                  <c:v>Implemented - Reviewed &amp; Effective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Dashboard!$A$11:$A$14</c:f>
              <c:strCache>
                <c:ptCount val="4"/>
                <c:pt idx="0">
                  <c:v>Organizational</c:v>
                </c:pt>
                <c:pt idx="1">
                  <c:v>People</c:v>
                </c:pt>
                <c:pt idx="2">
                  <c:v>Physical</c:v>
                </c:pt>
                <c:pt idx="3">
                  <c:v>Technological</c:v>
                </c:pt>
              </c:strCache>
            </c:strRef>
          </c:cat>
          <c:val>
            <c:numRef>
              <c:f>Dashboard!$F$11:$F$14</c:f>
              <c:numCache>
                <c:formatCode>General</c:formatCode>
                <c:ptCount val="4"/>
                <c:pt idx="0">
                  <c:v>25</c:v>
                </c:pt>
                <c:pt idx="1">
                  <c:v>6</c:v>
                </c:pt>
                <c:pt idx="2">
                  <c:v>10</c:v>
                </c:pt>
                <c:pt idx="3">
                  <c:v>21</c:v>
                </c:pt>
              </c:numCache>
            </c:numRef>
          </c:val>
        </c:ser>
        <c:gapWidth val="150"/>
        <c:overlap val="100"/>
        <c:axId val="34910185"/>
        <c:axId val="89475235"/>
      </c:barChart>
      <c:catAx>
        <c:axId val="349101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Theme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75235"/>
        <c:crosses val="autoZero"/>
        <c:auto val="1"/>
        <c:lblAlgn val="ctr"/>
        <c:lblOffset val="100"/>
        <c:noMultiLvlLbl val="0"/>
      </c:catAx>
      <c:valAx>
        <c:axId val="894752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controls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9101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Findings by Priority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Dashboard!$A$19:$A$22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N/A - Maintain</c:v>
                </c:pt>
              </c:strCache>
            </c:strRef>
          </c:cat>
          <c:val>
            <c:numRef>
              <c:f>Dashboard!$B$19:$B$22</c:f>
              <c:numCache>
                <c:formatCode>General</c:formatCode>
                <c:ptCount val="4"/>
                <c:pt idx="0">
                  <c:v>8</c:v>
                </c:pt>
                <c:pt idx="1">
                  <c:v>9</c:v>
                </c:pt>
                <c:pt idx="2">
                  <c:v>14</c:v>
                </c:pt>
                <c:pt idx="3">
                  <c:v>62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130680</xdr:rowOff>
    </xdr:from>
    <xdr:to>
      <xdr:col>18</xdr:col>
      <xdr:colOff>473040</xdr:colOff>
      <xdr:row>18</xdr:row>
      <xdr:rowOff>152280</xdr:rowOff>
    </xdr:to>
    <xdr:graphicFrame>
      <xdr:nvGraphicFramePr>
        <xdr:cNvPr id="0" name="Chart 1"/>
        <xdr:cNvGraphicFramePr/>
      </xdr:nvGraphicFramePr>
      <xdr:xfrm>
        <a:off x="7941960" y="3808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172440</xdr:rowOff>
    </xdr:from>
    <xdr:to>
      <xdr:col>14</xdr:col>
      <xdr:colOff>39240</xdr:colOff>
      <xdr:row>35</xdr:row>
      <xdr:rowOff>173520</xdr:rowOff>
    </xdr:to>
    <xdr:graphicFrame>
      <xdr:nvGraphicFramePr>
        <xdr:cNvPr id="1" name="Chart 2"/>
        <xdr:cNvGraphicFramePr/>
      </xdr:nvGraphicFramePr>
      <xdr:xfrm>
        <a:off x="7941960" y="400068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23.8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5" t="n">
        <v>46266</v>
      </c>
    </row>
    <row r="7" customFormat="false" ht="15" hidden="false" customHeight="false" outlineLevel="0" collapsed="false">
      <c r="A7" s="3" t="s">
        <v>7</v>
      </c>
      <c r="B7" s="4" t="s">
        <v>8</v>
      </c>
    </row>
    <row r="8" customFormat="false" ht="35.05" hidden="false" customHeight="false" outlineLevel="0" collapsed="false">
      <c r="A8" s="3" t="s">
        <v>9</v>
      </c>
      <c r="B8" s="4" t="s">
        <v>10</v>
      </c>
    </row>
    <row r="10" customFormat="false" ht="15" hidden="false" customHeight="false" outlineLevel="0" collapsed="false">
      <c r="A10" s="6" t="s">
        <v>11</v>
      </c>
      <c r="B10" s="6"/>
    </row>
    <row r="11" customFormat="false" ht="15" hidden="false" customHeight="false" outlineLevel="0" collapsed="false">
      <c r="A11" s="7" t="s">
        <v>12</v>
      </c>
      <c r="B11" s="8" t="s">
        <v>13</v>
      </c>
    </row>
    <row r="12" customFormat="false" ht="15" hidden="false" customHeight="false" outlineLevel="0" collapsed="false">
      <c r="A12" s="7" t="s">
        <v>14</v>
      </c>
      <c r="B12" s="8" t="s">
        <v>15</v>
      </c>
    </row>
    <row r="13" customFormat="false" ht="15" hidden="false" customHeight="false" outlineLevel="0" collapsed="false">
      <c r="A13" s="7" t="s">
        <v>16</v>
      </c>
      <c r="B13" s="8" t="s">
        <v>17</v>
      </c>
    </row>
    <row r="14" customFormat="false" ht="15" hidden="false" customHeight="false" outlineLevel="0" collapsed="false">
      <c r="A14" s="7" t="s">
        <v>18</v>
      </c>
      <c r="B14" s="8" t="s">
        <v>19</v>
      </c>
    </row>
    <row r="15" customFormat="false" ht="15" hidden="false" customHeight="false" outlineLevel="0" collapsed="false">
      <c r="A15" s="7" t="s">
        <v>20</v>
      </c>
      <c r="B15" s="8" t="s">
        <v>21</v>
      </c>
    </row>
    <row r="17" customFormat="false" ht="15" hidden="false" customHeight="false" outlineLevel="0" collapsed="false">
      <c r="A17" s="6" t="s">
        <v>22</v>
      </c>
      <c r="B17" s="6"/>
    </row>
    <row r="18" customFormat="false" ht="15" hidden="false" customHeight="false" outlineLevel="0" collapsed="false">
      <c r="A18" s="7" t="s">
        <v>23</v>
      </c>
      <c r="B18" s="8" t="s">
        <v>24</v>
      </c>
    </row>
    <row r="19" customFormat="false" ht="15" hidden="false" customHeight="false" outlineLevel="0" collapsed="false">
      <c r="A19" s="7" t="s">
        <v>25</v>
      </c>
      <c r="B19" s="8" t="s">
        <v>26</v>
      </c>
    </row>
    <row r="20" customFormat="false" ht="23.85" hidden="false" customHeight="false" outlineLevel="0" collapsed="false">
      <c r="A20" s="7" t="s">
        <v>27</v>
      </c>
      <c r="B20" s="8" t="s">
        <v>28</v>
      </c>
    </row>
    <row r="21" customFormat="false" ht="15" hidden="false" customHeight="false" outlineLevel="0" collapsed="false">
      <c r="A21" s="7" t="s">
        <v>29</v>
      </c>
      <c r="B21" s="8" t="s">
        <v>30</v>
      </c>
    </row>
    <row r="23" customFormat="false" ht="15" hidden="false" customHeight="false" outlineLevel="0" collapsed="false">
      <c r="A23" s="3" t="s">
        <v>31</v>
      </c>
    </row>
    <row r="24" customFormat="false" ht="15" hidden="false" customHeight="true" outlineLevel="0" collapsed="false">
      <c r="A24" s="9" t="s">
        <v>32</v>
      </c>
      <c r="B24" s="9"/>
    </row>
    <row r="25" customFormat="false" ht="15" hidden="false" customHeight="false" outlineLevel="0" collapsed="false">
      <c r="A25" s="9"/>
      <c r="B25" s="9"/>
    </row>
    <row r="26" customFormat="false" ht="15" hidden="false" customHeight="false" outlineLevel="0" collapsed="false">
      <c r="A26" s="9"/>
      <c r="B26" s="9"/>
    </row>
  </sheetData>
  <mergeCells count="3">
    <mergeCell ref="A10:B10"/>
    <mergeCell ref="A17:B17"/>
    <mergeCell ref="A24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6" min="3" style="0" width="12"/>
  </cols>
  <sheetData>
    <row r="1" customFormat="false" ht="19.7" hidden="false" customHeight="false" outlineLevel="0" collapsed="false">
      <c r="A1" s="10" t="s">
        <v>33</v>
      </c>
      <c r="B1" s="10"/>
      <c r="C1" s="10"/>
      <c r="D1" s="10"/>
      <c r="E1" s="10"/>
      <c r="F1" s="10"/>
    </row>
    <row r="3" customFormat="false" ht="15" hidden="false" customHeight="false" outlineLevel="0" collapsed="false">
      <c r="A3" s="3" t="s">
        <v>34</v>
      </c>
      <c r="B3" s="11" t="n">
        <f aca="false">COUNTA('Gap Assessment Matrix'!A3:A95)</f>
        <v>93</v>
      </c>
    </row>
    <row r="4" customFormat="false" ht="15" hidden="false" customHeight="false" outlineLevel="0" collapsed="false">
      <c r="A4" s="3" t="s">
        <v>35</v>
      </c>
      <c r="B4" s="11" t="n">
        <f aca="false">COUNTIFS('Gap Assessment Matrix'!G3:G95,"High")+COUNTIFS('Gap Assessment Matrix'!G3:G95,"Medium")</f>
        <v>17</v>
      </c>
    </row>
    <row r="5" customFormat="false" ht="15" hidden="false" customHeight="false" outlineLevel="0" collapsed="false">
      <c r="A5" s="3" t="s">
        <v>36</v>
      </c>
      <c r="B5" s="12" t="n">
        <f aca="false">AVERAGE('Gap Assessment Matrix'!J3:J95)</f>
        <v>3.31182795698925</v>
      </c>
    </row>
    <row r="6" customFormat="false" ht="15" hidden="false" customHeight="false" outlineLevel="0" collapsed="false">
      <c r="A6" s="3" t="s">
        <v>37</v>
      </c>
      <c r="B6" s="13" t="n">
        <f aca="false">COUNTIFS('Gap Assessment Matrix'!J3:J95,"&gt;=3")/COUNTA('Gap Assessment Matrix'!J3:J95)</f>
        <v>0.817204301075269</v>
      </c>
    </row>
    <row r="9" customFormat="false" ht="15" hidden="false" customHeight="false" outlineLevel="0" collapsed="false">
      <c r="A9" s="6" t="s">
        <v>38</v>
      </c>
      <c r="B9" s="6"/>
      <c r="C9" s="6"/>
      <c r="D9" s="6"/>
      <c r="E9" s="6"/>
      <c r="F9" s="6"/>
    </row>
    <row r="10" customFormat="false" ht="41.75" hidden="false" customHeight="false" outlineLevel="0" collapsed="false">
      <c r="A10" s="14" t="s">
        <v>39</v>
      </c>
      <c r="B10" s="14" t="s">
        <v>40</v>
      </c>
      <c r="C10" s="14" t="s">
        <v>41</v>
      </c>
      <c r="D10" s="14" t="s">
        <v>42</v>
      </c>
      <c r="E10" s="14" t="s">
        <v>43</v>
      </c>
      <c r="F10" s="14" t="s">
        <v>44</v>
      </c>
    </row>
    <row r="11" customFormat="false" ht="15" hidden="false" customHeight="false" outlineLevel="0" collapsed="false">
      <c r="A11" s="7" t="s">
        <v>45</v>
      </c>
      <c r="B11" s="7" t="n">
        <f aca="false">COUNTIFS('Gap Assessment Matrix'!$C$3:$C$95,$A11,'Gap Assessment Matrix'!$D$3:$D$95,B$10)</f>
        <v>4</v>
      </c>
      <c r="C11" s="7" t="n">
        <f aca="false">COUNTIFS('Gap Assessment Matrix'!$C$3:$C$95,$A11,'Gap Assessment Matrix'!$D$3:$D$95,C$10)</f>
        <v>0</v>
      </c>
      <c r="D11" s="7" t="n">
        <f aca="false">COUNTIFS('Gap Assessment Matrix'!$C$3:$C$95,$A11,'Gap Assessment Matrix'!$D$3:$D$95,D$10)</f>
        <v>2</v>
      </c>
      <c r="E11" s="7" t="n">
        <f aca="false">COUNTIFS('Gap Assessment Matrix'!$C$3:$C$95,$A11,'Gap Assessment Matrix'!$D$3:$D$95,E$10)</f>
        <v>6</v>
      </c>
      <c r="F11" s="7" t="n">
        <f aca="false">COUNTIFS('Gap Assessment Matrix'!$C$3:$C$95,$A11,'Gap Assessment Matrix'!$D$3:$D$95,F$10)</f>
        <v>25</v>
      </c>
    </row>
    <row r="12" customFormat="false" ht="15" hidden="false" customHeight="false" outlineLevel="0" collapsed="false">
      <c r="A12" s="7" t="s">
        <v>46</v>
      </c>
      <c r="B12" s="7" t="n">
        <f aca="false">COUNTIFS('Gap Assessment Matrix'!$C$3:$C$95,$A12,'Gap Assessment Matrix'!$D$3:$D$95,B$10)</f>
        <v>0</v>
      </c>
      <c r="C12" s="7" t="n">
        <f aca="false">COUNTIFS('Gap Assessment Matrix'!$C$3:$C$95,$A12,'Gap Assessment Matrix'!$D$3:$D$95,C$10)</f>
        <v>0</v>
      </c>
      <c r="D12" s="7" t="n">
        <f aca="false">COUNTIFS('Gap Assessment Matrix'!$C$3:$C$95,$A12,'Gap Assessment Matrix'!$D$3:$D$95,D$10)</f>
        <v>1</v>
      </c>
      <c r="E12" s="7" t="n">
        <f aca="false">COUNTIFS('Gap Assessment Matrix'!$C$3:$C$95,$A12,'Gap Assessment Matrix'!$D$3:$D$95,E$10)</f>
        <v>1</v>
      </c>
      <c r="F12" s="7" t="n">
        <f aca="false">COUNTIFS('Gap Assessment Matrix'!$C$3:$C$95,$A12,'Gap Assessment Matrix'!$D$3:$D$95,F$10)</f>
        <v>6</v>
      </c>
    </row>
    <row r="13" customFormat="false" ht="15" hidden="false" customHeight="false" outlineLevel="0" collapsed="false">
      <c r="A13" s="7" t="s">
        <v>47</v>
      </c>
      <c r="B13" s="7" t="n">
        <f aca="false">COUNTIFS('Gap Assessment Matrix'!$C$3:$C$95,$A13,'Gap Assessment Matrix'!$D$3:$D$95,B$10)</f>
        <v>0</v>
      </c>
      <c r="C13" s="7" t="n">
        <f aca="false">COUNTIFS('Gap Assessment Matrix'!$C$3:$C$95,$A13,'Gap Assessment Matrix'!$D$3:$D$95,C$10)</f>
        <v>0</v>
      </c>
      <c r="D13" s="7" t="n">
        <f aca="false">COUNTIFS('Gap Assessment Matrix'!$C$3:$C$95,$A13,'Gap Assessment Matrix'!$D$3:$D$95,D$10)</f>
        <v>2</v>
      </c>
      <c r="E13" s="7" t="n">
        <f aca="false">COUNTIFS('Gap Assessment Matrix'!$C$3:$C$95,$A13,'Gap Assessment Matrix'!$D$3:$D$95,E$10)</f>
        <v>2</v>
      </c>
      <c r="F13" s="7" t="n">
        <f aca="false">COUNTIFS('Gap Assessment Matrix'!$C$3:$C$95,$A13,'Gap Assessment Matrix'!$D$3:$D$95,F$10)</f>
        <v>10</v>
      </c>
    </row>
    <row r="14" customFormat="false" ht="15" hidden="false" customHeight="false" outlineLevel="0" collapsed="false">
      <c r="A14" s="7" t="s">
        <v>48</v>
      </c>
      <c r="B14" s="7" t="n">
        <f aca="false">COUNTIFS('Gap Assessment Matrix'!$C$3:$C$95,$A14,'Gap Assessment Matrix'!$D$3:$D$95,B$10)</f>
        <v>4</v>
      </c>
      <c r="C14" s="7" t="n">
        <f aca="false">COUNTIFS('Gap Assessment Matrix'!$C$3:$C$95,$A14,'Gap Assessment Matrix'!$D$3:$D$95,C$10)</f>
        <v>0</v>
      </c>
      <c r="D14" s="7" t="n">
        <f aca="false">COUNTIFS('Gap Assessment Matrix'!$C$3:$C$95,$A14,'Gap Assessment Matrix'!$D$3:$D$95,D$10)</f>
        <v>4</v>
      </c>
      <c r="E14" s="7" t="n">
        <f aca="false">COUNTIFS('Gap Assessment Matrix'!$C$3:$C$95,$A14,'Gap Assessment Matrix'!$D$3:$D$95,E$10)</f>
        <v>5</v>
      </c>
      <c r="F14" s="7" t="n">
        <f aca="false">COUNTIFS('Gap Assessment Matrix'!$C$3:$C$95,$A14,'Gap Assessment Matrix'!$D$3:$D$95,F$10)</f>
        <v>21</v>
      </c>
    </row>
    <row r="17" customFormat="false" ht="15" hidden="false" customHeight="false" outlineLevel="0" collapsed="false">
      <c r="A17" s="6" t="s">
        <v>49</v>
      </c>
      <c r="B17" s="6"/>
    </row>
    <row r="18" customFormat="false" ht="15" hidden="false" customHeight="false" outlineLevel="0" collapsed="false">
      <c r="A18" s="15" t="s">
        <v>50</v>
      </c>
      <c r="B18" s="15" t="s">
        <v>51</v>
      </c>
    </row>
    <row r="19" customFormat="false" ht="15" hidden="false" customHeight="false" outlineLevel="0" collapsed="false">
      <c r="A19" s="7" t="s">
        <v>23</v>
      </c>
      <c r="B19" s="7" t="n">
        <f aca="false">COUNTIFS('Gap Assessment Matrix'!$G$3:$G$95,A19)</f>
        <v>8</v>
      </c>
    </row>
    <row r="20" customFormat="false" ht="15" hidden="false" customHeight="false" outlineLevel="0" collapsed="false">
      <c r="A20" s="7" t="s">
        <v>25</v>
      </c>
      <c r="B20" s="7" t="n">
        <f aca="false">COUNTIFS('Gap Assessment Matrix'!$G$3:$G$95,A20)</f>
        <v>9</v>
      </c>
    </row>
    <row r="21" customFormat="false" ht="15" hidden="false" customHeight="false" outlineLevel="0" collapsed="false">
      <c r="A21" s="7" t="s">
        <v>27</v>
      </c>
      <c r="B21" s="7" t="n">
        <f aca="false">COUNTIFS('Gap Assessment Matrix'!$G$3:$G$95,A21)</f>
        <v>14</v>
      </c>
    </row>
    <row r="22" customFormat="false" ht="15" hidden="false" customHeight="false" outlineLevel="0" collapsed="false">
      <c r="A22" s="7" t="s">
        <v>29</v>
      </c>
      <c r="B22" s="7" t="n">
        <f aca="false">COUNTIFS('Gap Assessment Matrix'!$G$3:$G$95,A22)</f>
        <v>62</v>
      </c>
    </row>
  </sheetData>
  <mergeCells count="3">
    <mergeCell ref="A1:F1"/>
    <mergeCell ref="A9:F9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6" min="5" style="0" width="46"/>
    <col collapsed="false" customWidth="true" hidden="false" outlineLevel="0" max="7" min="7" style="0" width="15"/>
    <col collapsed="false" customWidth="true" hidden="false" outlineLevel="0" max="8" min="8" style="0" width="20"/>
    <col collapsed="false" customWidth="true" hidden="false" outlineLevel="0" max="9" min="9" style="0" width="24"/>
    <col collapsed="false" customWidth="true" hidden="false" outlineLevel="0" max="10" min="10" style="0" width="8"/>
  </cols>
  <sheetData>
    <row r="1" customFormat="false" ht="19.7" hidden="false" customHeight="false" outlineLevel="0" collapsed="false">
      <c r="A1" s="10" t="s">
        <v>52</v>
      </c>
      <c r="B1" s="10"/>
      <c r="C1" s="10"/>
      <c r="D1" s="10"/>
      <c r="E1" s="10"/>
      <c r="F1" s="10"/>
      <c r="G1" s="10"/>
      <c r="H1" s="10"/>
      <c r="I1" s="10"/>
      <c r="J1" s="10"/>
    </row>
    <row r="2" customFormat="false" ht="28.35" hidden="false" customHeight="false" outlineLevel="0" collapsed="false">
      <c r="A2" s="16" t="s">
        <v>53</v>
      </c>
      <c r="B2" s="16" t="s">
        <v>54</v>
      </c>
      <c r="C2" s="16" t="s">
        <v>39</v>
      </c>
      <c r="D2" s="16" t="s">
        <v>55</v>
      </c>
      <c r="E2" s="16" t="s">
        <v>56</v>
      </c>
      <c r="F2" s="16" t="s">
        <v>57</v>
      </c>
      <c r="G2" s="16" t="s">
        <v>50</v>
      </c>
      <c r="H2" s="16" t="s">
        <v>58</v>
      </c>
      <c r="I2" s="16" t="s">
        <v>59</v>
      </c>
      <c r="J2" s="16" t="s">
        <v>60</v>
      </c>
    </row>
    <row r="3" customFormat="false" ht="23.85" hidden="false" customHeight="false" outlineLevel="0" collapsed="false">
      <c r="A3" s="17" t="s">
        <v>61</v>
      </c>
      <c r="B3" s="17" t="s">
        <v>62</v>
      </c>
      <c r="C3" s="17" t="s">
        <v>45</v>
      </c>
      <c r="D3" s="17" t="s">
        <v>44</v>
      </c>
      <c r="E3" s="17" t="s">
        <v>63</v>
      </c>
      <c r="F3" s="17"/>
      <c r="G3" s="17" t="s">
        <v>29</v>
      </c>
      <c r="H3" s="18" t="str">
        <f aca="false">IF(G3="N/A - Maintain","",Cover!$B$6+INDEX('Reference Data'!$G$2:$G$5,MATCH(G3,'Reference Data'!$F$2:$F$5,0)))</f>
        <v/>
      </c>
      <c r="I3" s="17" t="s">
        <v>64</v>
      </c>
      <c r="J3" s="19" t="n">
        <f aca="false">INDEX('Reference Data'!$D$2:$D$6,MATCH(D3,'Reference Data'!$C$2:$C$6,0))</f>
        <v>4</v>
      </c>
    </row>
    <row r="4" customFormat="false" ht="23.85" hidden="false" customHeight="false" outlineLevel="0" collapsed="false">
      <c r="A4" s="17" t="s">
        <v>65</v>
      </c>
      <c r="B4" s="17" t="s">
        <v>66</v>
      </c>
      <c r="C4" s="17" t="s">
        <v>45</v>
      </c>
      <c r="D4" s="17" t="s">
        <v>44</v>
      </c>
      <c r="E4" s="17" t="s">
        <v>67</v>
      </c>
      <c r="F4" s="17"/>
      <c r="G4" s="17" t="s">
        <v>29</v>
      </c>
      <c r="H4" s="18" t="str">
        <f aca="false">IF(G4="N/A - Maintain","",Cover!$B$6+INDEX('Reference Data'!$G$2:$G$5,MATCH(G4,'Reference Data'!$F$2:$F$5,0)))</f>
        <v/>
      </c>
      <c r="I4" s="17" t="s">
        <v>64</v>
      </c>
      <c r="J4" s="19" t="n">
        <f aca="false">INDEX('Reference Data'!$D$2:$D$6,MATCH(D4,'Reference Data'!$C$2:$C$6,0))</f>
        <v>4</v>
      </c>
    </row>
    <row r="5" customFormat="false" ht="23.85" hidden="false" customHeight="false" outlineLevel="0" collapsed="false">
      <c r="A5" s="17" t="s">
        <v>68</v>
      </c>
      <c r="B5" s="17" t="s">
        <v>69</v>
      </c>
      <c r="C5" s="17" t="s">
        <v>45</v>
      </c>
      <c r="D5" s="17" t="s">
        <v>44</v>
      </c>
      <c r="E5" s="17" t="s">
        <v>70</v>
      </c>
      <c r="F5" s="17"/>
      <c r="G5" s="17" t="s">
        <v>29</v>
      </c>
      <c r="H5" s="18" t="str">
        <f aca="false">IF(G5="N/A - Maintain","",Cover!$B$6+INDEX('Reference Data'!$G$2:$G$5,MATCH(G5,'Reference Data'!$F$2:$F$5,0)))</f>
        <v/>
      </c>
      <c r="I5" s="17" t="s">
        <v>64</v>
      </c>
      <c r="J5" s="19" t="n">
        <f aca="false">INDEX('Reference Data'!$D$2:$D$6,MATCH(D5,'Reference Data'!$C$2:$C$6,0))</f>
        <v>4</v>
      </c>
    </row>
    <row r="6" customFormat="false" ht="23.85" hidden="false" customHeight="false" outlineLevel="0" collapsed="false">
      <c r="A6" s="17" t="s">
        <v>71</v>
      </c>
      <c r="B6" s="17" t="s">
        <v>72</v>
      </c>
      <c r="C6" s="17" t="s">
        <v>45</v>
      </c>
      <c r="D6" s="17" t="s">
        <v>44</v>
      </c>
      <c r="E6" s="17" t="s">
        <v>73</v>
      </c>
      <c r="F6" s="17"/>
      <c r="G6" s="17" t="s">
        <v>29</v>
      </c>
      <c r="H6" s="18" t="str">
        <f aca="false">IF(G6="N/A - Maintain","",Cover!$B$6+INDEX('Reference Data'!$G$2:$G$5,MATCH(G6,'Reference Data'!$F$2:$F$5,0)))</f>
        <v/>
      </c>
      <c r="I6" s="17" t="s">
        <v>64</v>
      </c>
      <c r="J6" s="19" t="n">
        <f aca="false">INDEX('Reference Data'!$D$2:$D$6,MATCH(D6,'Reference Data'!$C$2:$C$6,0))</f>
        <v>4</v>
      </c>
    </row>
    <row r="7" customFormat="false" ht="23.85" hidden="false" customHeight="false" outlineLevel="0" collapsed="false">
      <c r="A7" s="17" t="s">
        <v>74</v>
      </c>
      <c r="B7" s="17" t="s">
        <v>75</v>
      </c>
      <c r="C7" s="17" t="s">
        <v>45</v>
      </c>
      <c r="D7" s="17" t="s">
        <v>43</v>
      </c>
      <c r="E7" s="17" t="s">
        <v>63</v>
      </c>
      <c r="F7" s="17" t="s">
        <v>76</v>
      </c>
      <c r="G7" s="17" t="s">
        <v>27</v>
      </c>
      <c r="H7" s="18" t="n">
        <f aca="false">IF(G7="N/A - Maintain","",Cover!$B$6+INDEX('Reference Data'!$G$2:$G$5,MATCH(G7,'Reference Data'!$F$2:$F$5,0)))</f>
        <v>46446</v>
      </c>
      <c r="I7" s="17" t="s">
        <v>64</v>
      </c>
      <c r="J7" s="19" t="n">
        <f aca="false">INDEX('Reference Data'!$D$2:$D$6,MATCH(D7,'Reference Data'!$C$2:$C$6,0))</f>
        <v>3</v>
      </c>
    </row>
    <row r="8" customFormat="false" ht="23.85" hidden="false" customHeight="false" outlineLevel="0" collapsed="false">
      <c r="A8" s="17" t="s">
        <v>77</v>
      </c>
      <c r="B8" s="17" t="s">
        <v>78</v>
      </c>
      <c r="C8" s="17" t="s">
        <v>45</v>
      </c>
      <c r="D8" s="17" t="s">
        <v>44</v>
      </c>
      <c r="E8" s="17" t="s">
        <v>67</v>
      </c>
      <c r="F8" s="17"/>
      <c r="G8" s="17" t="s">
        <v>29</v>
      </c>
      <c r="H8" s="18" t="str">
        <f aca="false">IF(G8="N/A - Maintain","",Cover!$B$6+INDEX('Reference Data'!$G$2:$G$5,MATCH(G8,'Reference Data'!$F$2:$F$5,0)))</f>
        <v/>
      </c>
      <c r="I8" s="17" t="s">
        <v>64</v>
      </c>
      <c r="J8" s="19" t="n">
        <f aca="false">INDEX('Reference Data'!$D$2:$D$6,MATCH(D8,'Reference Data'!$C$2:$C$6,0))</f>
        <v>4</v>
      </c>
    </row>
    <row r="9" customFormat="false" ht="23.85" hidden="false" customHeight="false" outlineLevel="0" collapsed="false">
      <c r="A9" s="17" t="s">
        <v>79</v>
      </c>
      <c r="B9" s="17" t="s">
        <v>80</v>
      </c>
      <c r="C9" s="17" t="s">
        <v>45</v>
      </c>
      <c r="D9" s="17" t="s">
        <v>40</v>
      </c>
      <c r="E9" s="17"/>
      <c r="F9" s="17" t="s">
        <v>81</v>
      </c>
      <c r="G9" s="17" t="s">
        <v>23</v>
      </c>
      <c r="H9" s="18" t="n">
        <f aca="false">IF(G9="N/A - Maintain","",Cover!$B$6+INDEX('Reference Data'!$G$2:$G$5,MATCH(G9,'Reference Data'!$F$2:$F$5,0)))</f>
        <v>46326</v>
      </c>
      <c r="I9" s="17" t="s">
        <v>64</v>
      </c>
      <c r="J9" s="19" t="n">
        <f aca="false">INDEX('Reference Data'!$D$2:$D$6,MATCH(D9,'Reference Data'!$C$2:$C$6,0))</f>
        <v>0</v>
      </c>
    </row>
    <row r="10" customFormat="false" ht="23.85" hidden="false" customHeight="false" outlineLevel="0" collapsed="false">
      <c r="A10" s="17" t="s">
        <v>82</v>
      </c>
      <c r="B10" s="17" t="s">
        <v>83</v>
      </c>
      <c r="C10" s="17" t="s">
        <v>45</v>
      </c>
      <c r="D10" s="17" t="s">
        <v>44</v>
      </c>
      <c r="E10" s="17" t="s">
        <v>70</v>
      </c>
      <c r="F10" s="17"/>
      <c r="G10" s="17" t="s">
        <v>29</v>
      </c>
      <c r="H10" s="18" t="str">
        <f aca="false">IF(G10="N/A - Maintain","",Cover!$B$6+INDEX('Reference Data'!$G$2:$G$5,MATCH(G10,'Reference Data'!$F$2:$F$5,0)))</f>
        <v/>
      </c>
      <c r="I10" s="17" t="s">
        <v>64</v>
      </c>
      <c r="J10" s="19" t="n">
        <f aca="false">INDEX('Reference Data'!$D$2:$D$6,MATCH(D10,'Reference Data'!$C$2:$C$6,0))</f>
        <v>4</v>
      </c>
    </row>
    <row r="11" customFormat="false" ht="23.85" hidden="false" customHeight="false" outlineLevel="0" collapsed="false">
      <c r="A11" s="17" t="s">
        <v>84</v>
      </c>
      <c r="B11" s="17" t="s">
        <v>85</v>
      </c>
      <c r="C11" s="17" t="s">
        <v>45</v>
      </c>
      <c r="D11" s="17" t="s">
        <v>44</v>
      </c>
      <c r="E11" s="17" t="s">
        <v>73</v>
      </c>
      <c r="F11" s="17"/>
      <c r="G11" s="17" t="s">
        <v>29</v>
      </c>
      <c r="H11" s="18" t="str">
        <f aca="false">IF(G11="N/A - Maintain","",Cover!$B$6+INDEX('Reference Data'!$G$2:$G$5,MATCH(G11,'Reference Data'!$F$2:$F$5,0)))</f>
        <v/>
      </c>
      <c r="I11" s="17" t="s">
        <v>64</v>
      </c>
      <c r="J11" s="19" t="n">
        <f aca="false">INDEX('Reference Data'!$D$2:$D$6,MATCH(D11,'Reference Data'!$C$2:$C$6,0))</f>
        <v>4</v>
      </c>
    </row>
    <row r="12" customFormat="false" ht="23.85" hidden="false" customHeight="false" outlineLevel="0" collapsed="false">
      <c r="A12" s="17" t="s">
        <v>86</v>
      </c>
      <c r="B12" s="17" t="s">
        <v>87</v>
      </c>
      <c r="C12" s="17" t="s">
        <v>45</v>
      </c>
      <c r="D12" s="17" t="s">
        <v>44</v>
      </c>
      <c r="E12" s="17" t="s">
        <v>63</v>
      </c>
      <c r="F12" s="17"/>
      <c r="G12" s="17" t="s">
        <v>29</v>
      </c>
      <c r="H12" s="18" t="str">
        <f aca="false">IF(G12="N/A - Maintain","",Cover!$B$6+INDEX('Reference Data'!$G$2:$G$5,MATCH(G12,'Reference Data'!$F$2:$F$5,0)))</f>
        <v/>
      </c>
      <c r="I12" s="17" t="s">
        <v>64</v>
      </c>
      <c r="J12" s="19" t="n">
        <f aca="false">INDEX('Reference Data'!$D$2:$D$6,MATCH(D12,'Reference Data'!$C$2:$C$6,0))</f>
        <v>4</v>
      </c>
    </row>
    <row r="13" customFormat="false" ht="23.85" hidden="false" customHeight="false" outlineLevel="0" collapsed="false">
      <c r="A13" s="17" t="s">
        <v>88</v>
      </c>
      <c r="B13" s="17" t="s">
        <v>89</v>
      </c>
      <c r="C13" s="17" t="s">
        <v>45</v>
      </c>
      <c r="D13" s="17" t="s">
        <v>43</v>
      </c>
      <c r="E13" s="17" t="s">
        <v>67</v>
      </c>
      <c r="F13" s="17" t="s">
        <v>76</v>
      </c>
      <c r="G13" s="17" t="s">
        <v>27</v>
      </c>
      <c r="H13" s="18" t="n">
        <f aca="false">IF(G13="N/A - Maintain","",Cover!$B$6+INDEX('Reference Data'!$G$2:$G$5,MATCH(G13,'Reference Data'!$F$2:$F$5,0)))</f>
        <v>46446</v>
      </c>
      <c r="I13" s="17" t="s">
        <v>64</v>
      </c>
      <c r="J13" s="19" t="n">
        <f aca="false">INDEX('Reference Data'!$D$2:$D$6,MATCH(D13,'Reference Data'!$C$2:$C$6,0))</f>
        <v>3</v>
      </c>
    </row>
    <row r="14" customFormat="false" ht="23.85" hidden="false" customHeight="false" outlineLevel="0" collapsed="false">
      <c r="A14" s="17" t="s">
        <v>90</v>
      </c>
      <c r="B14" s="17" t="s">
        <v>91</v>
      </c>
      <c r="C14" s="17" t="s">
        <v>45</v>
      </c>
      <c r="D14" s="17" t="s">
        <v>44</v>
      </c>
      <c r="E14" s="17" t="s">
        <v>70</v>
      </c>
      <c r="F14" s="17"/>
      <c r="G14" s="17" t="s">
        <v>29</v>
      </c>
      <c r="H14" s="18" t="str">
        <f aca="false">IF(G14="N/A - Maintain","",Cover!$B$6+INDEX('Reference Data'!$G$2:$G$5,MATCH(G14,'Reference Data'!$F$2:$F$5,0)))</f>
        <v/>
      </c>
      <c r="I14" s="17" t="s">
        <v>64</v>
      </c>
      <c r="J14" s="19" t="n">
        <f aca="false">INDEX('Reference Data'!$D$2:$D$6,MATCH(D14,'Reference Data'!$C$2:$C$6,0))</f>
        <v>4</v>
      </c>
    </row>
    <row r="15" customFormat="false" ht="23.85" hidden="false" customHeight="false" outlineLevel="0" collapsed="false">
      <c r="A15" s="17" t="s">
        <v>92</v>
      </c>
      <c r="B15" s="17" t="s">
        <v>93</v>
      </c>
      <c r="C15" s="17" t="s">
        <v>45</v>
      </c>
      <c r="D15" s="17" t="s">
        <v>44</v>
      </c>
      <c r="E15" s="17" t="s">
        <v>73</v>
      </c>
      <c r="F15" s="17"/>
      <c r="G15" s="17" t="s">
        <v>29</v>
      </c>
      <c r="H15" s="18" t="str">
        <f aca="false">IF(G15="N/A - Maintain","",Cover!$B$6+INDEX('Reference Data'!$G$2:$G$5,MATCH(G15,'Reference Data'!$F$2:$F$5,0)))</f>
        <v/>
      </c>
      <c r="I15" s="17" t="s">
        <v>64</v>
      </c>
      <c r="J15" s="19" t="n">
        <f aca="false">INDEX('Reference Data'!$D$2:$D$6,MATCH(D15,'Reference Data'!$C$2:$C$6,0))</f>
        <v>4</v>
      </c>
    </row>
    <row r="16" customFormat="false" ht="23.85" hidden="false" customHeight="false" outlineLevel="0" collapsed="false">
      <c r="A16" s="17" t="s">
        <v>94</v>
      </c>
      <c r="B16" s="17" t="s">
        <v>95</v>
      </c>
      <c r="C16" s="17" t="s">
        <v>45</v>
      </c>
      <c r="D16" s="17" t="s">
        <v>44</v>
      </c>
      <c r="E16" s="17" t="s">
        <v>63</v>
      </c>
      <c r="F16" s="17"/>
      <c r="G16" s="17" t="s">
        <v>29</v>
      </c>
      <c r="H16" s="18" t="str">
        <f aca="false">IF(G16="N/A - Maintain","",Cover!$B$6+INDEX('Reference Data'!$G$2:$G$5,MATCH(G16,'Reference Data'!$F$2:$F$5,0)))</f>
        <v/>
      </c>
      <c r="I16" s="17" t="s">
        <v>64</v>
      </c>
      <c r="J16" s="19" t="n">
        <f aca="false">INDEX('Reference Data'!$D$2:$D$6,MATCH(D16,'Reference Data'!$C$2:$C$6,0))</f>
        <v>4</v>
      </c>
    </row>
    <row r="17" customFormat="false" ht="23.85" hidden="false" customHeight="false" outlineLevel="0" collapsed="false">
      <c r="A17" s="17" t="s">
        <v>96</v>
      </c>
      <c r="B17" s="17" t="s">
        <v>97</v>
      </c>
      <c r="C17" s="17" t="s">
        <v>45</v>
      </c>
      <c r="D17" s="17" t="s">
        <v>44</v>
      </c>
      <c r="E17" s="17" t="s">
        <v>67</v>
      </c>
      <c r="F17" s="17"/>
      <c r="G17" s="17" t="s">
        <v>29</v>
      </c>
      <c r="H17" s="18" t="str">
        <f aca="false">IF(G17="N/A - Maintain","",Cover!$B$6+INDEX('Reference Data'!$G$2:$G$5,MATCH(G17,'Reference Data'!$F$2:$F$5,0)))</f>
        <v/>
      </c>
      <c r="I17" s="17" t="s">
        <v>64</v>
      </c>
      <c r="J17" s="19" t="n">
        <f aca="false">INDEX('Reference Data'!$D$2:$D$6,MATCH(D17,'Reference Data'!$C$2:$C$6,0))</f>
        <v>4</v>
      </c>
    </row>
    <row r="18" customFormat="false" ht="23.85" hidden="false" customHeight="false" outlineLevel="0" collapsed="false">
      <c r="A18" s="17" t="s">
        <v>98</v>
      </c>
      <c r="B18" s="17" t="s">
        <v>99</v>
      </c>
      <c r="C18" s="17" t="s">
        <v>45</v>
      </c>
      <c r="D18" s="17" t="s">
        <v>43</v>
      </c>
      <c r="E18" s="17" t="s">
        <v>70</v>
      </c>
      <c r="F18" s="17" t="s">
        <v>76</v>
      </c>
      <c r="G18" s="17" t="s">
        <v>27</v>
      </c>
      <c r="H18" s="18" t="n">
        <f aca="false">IF(G18="N/A - Maintain","",Cover!$B$6+INDEX('Reference Data'!$G$2:$G$5,MATCH(G18,'Reference Data'!$F$2:$F$5,0)))</f>
        <v>46446</v>
      </c>
      <c r="I18" s="17" t="s">
        <v>64</v>
      </c>
      <c r="J18" s="19" t="n">
        <f aca="false">INDEX('Reference Data'!$D$2:$D$6,MATCH(D18,'Reference Data'!$C$2:$C$6,0))</f>
        <v>3</v>
      </c>
    </row>
    <row r="19" customFormat="false" ht="23.85" hidden="false" customHeight="false" outlineLevel="0" collapsed="false">
      <c r="A19" s="17" t="s">
        <v>100</v>
      </c>
      <c r="B19" s="17" t="s">
        <v>101</v>
      </c>
      <c r="C19" s="17" t="s">
        <v>45</v>
      </c>
      <c r="D19" s="17" t="s">
        <v>44</v>
      </c>
      <c r="E19" s="17" t="s">
        <v>73</v>
      </c>
      <c r="F19" s="17"/>
      <c r="G19" s="17" t="s">
        <v>29</v>
      </c>
      <c r="H19" s="18" t="str">
        <f aca="false">IF(G19="N/A - Maintain","",Cover!$B$6+INDEX('Reference Data'!$G$2:$G$5,MATCH(G19,'Reference Data'!$F$2:$F$5,0)))</f>
        <v/>
      </c>
      <c r="I19" s="17" t="s">
        <v>64</v>
      </c>
      <c r="J19" s="19" t="n">
        <f aca="false">INDEX('Reference Data'!$D$2:$D$6,MATCH(D19,'Reference Data'!$C$2:$C$6,0))</f>
        <v>4</v>
      </c>
    </row>
    <row r="20" customFormat="false" ht="23.85" hidden="false" customHeight="false" outlineLevel="0" collapsed="false">
      <c r="A20" s="17" t="s">
        <v>102</v>
      </c>
      <c r="B20" s="17" t="s">
        <v>103</v>
      </c>
      <c r="C20" s="17" t="s">
        <v>45</v>
      </c>
      <c r="D20" s="17" t="s">
        <v>44</v>
      </c>
      <c r="E20" s="17" t="s">
        <v>63</v>
      </c>
      <c r="F20" s="17"/>
      <c r="G20" s="17" t="s">
        <v>29</v>
      </c>
      <c r="H20" s="18" t="str">
        <f aca="false">IF(G20="N/A - Maintain","",Cover!$B$6+INDEX('Reference Data'!$G$2:$G$5,MATCH(G20,'Reference Data'!$F$2:$F$5,0)))</f>
        <v/>
      </c>
      <c r="I20" s="17" t="s">
        <v>64</v>
      </c>
      <c r="J20" s="19" t="n">
        <f aca="false">INDEX('Reference Data'!$D$2:$D$6,MATCH(D20,'Reference Data'!$C$2:$C$6,0))</f>
        <v>4</v>
      </c>
    </row>
    <row r="21" customFormat="false" ht="23.85" hidden="false" customHeight="false" outlineLevel="0" collapsed="false">
      <c r="A21" s="17" t="s">
        <v>104</v>
      </c>
      <c r="B21" s="17" t="s">
        <v>105</v>
      </c>
      <c r="C21" s="17" t="s">
        <v>45</v>
      </c>
      <c r="D21" s="17" t="s">
        <v>44</v>
      </c>
      <c r="E21" s="17" t="s">
        <v>67</v>
      </c>
      <c r="F21" s="17"/>
      <c r="G21" s="17" t="s">
        <v>29</v>
      </c>
      <c r="H21" s="18" t="str">
        <f aca="false">IF(G21="N/A - Maintain","",Cover!$B$6+INDEX('Reference Data'!$G$2:$G$5,MATCH(G21,'Reference Data'!$F$2:$F$5,0)))</f>
        <v/>
      </c>
      <c r="I21" s="17" t="s">
        <v>106</v>
      </c>
      <c r="J21" s="19" t="n">
        <f aca="false">INDEX('Reference Data'!$D$2:$D$6,MATCH(D21,'Reference Data'!$C$2:$C$6,0))</f>
        <v>4</v>
      </c>
    </row>
    <row r="22" customFormat="false" ht="23.85" hidden="false" customHeight="false" outlineLevel="0" collapsed="false">
      <c r="A22" s="17" t="s">
        <v>107</v>
      </c>
      <c r="B22" s="17" t="s">
        <v>108</v>
      </c>
      <c r="C22" s="17" t="s">
        <v>45</v>
      </c>
      <c r="D22" s="17" t="s">
        <v>44</v>
      </c>
      <c r="E22" s="17" t="s">
        <v>70</v>
      </c>
      <c r="F22" s="17"/>
      <c r="G22" s="17" t="s">
        <v>29</v>
      </c>
      <c r="H22" s="18" t="str">
        <f aca="false">IF(G22="N/A - Maintain","",Cover!$B$6+INDEX('Reference Data'!$G$2:$G$5,MATCH(G22,'Reference Data'!$F$2:$F$5,0)))</f>
        <v/>
      </c>
      <c r="I22" s="17" t="s">
        <v>106</v>
      </c>
      <c r="J22" s="19" t="n">
        <f aca="false">INDEX('Reference Data'!$D$2:$D$6,MATCH(D22,'Reference Data'!$C$2:$C$6,0))</f>
        <v>4</v>
      </c>
    </row>
    <row r="23" customFormat="false" ht="23.85" hidden="false" customHeight="false" outlineLevel="0" collapsed="false">
      <c r="A23" s="17" t="s">
        <v>109</v>
      </c>
      <c r="B23" s="17" t="s">
        <v>110</v>
      </c>
      <c r="C23" s="17" t="s">
        <v>45</v>
      </c>
      <c r="D23" s="17" t="s">
        <v>40</v>
      </c>
      <c r="E23" s="17"/>
      <c r="F23" s="17" t="s">
        <v>111</v>
      </c>
      <c r="G23" s="17" t="s">
        <v>23</v>
      </c>
      <c r="H23" s="18" t="n">
        <f aca="false">IF(G23="N/A - Maintain","",Cover!$B$6+INDEX('Reference Data'!$G$2:$G$5,MATCH(G23,'Reference Data'!$F$2:$F$5,0)))</f>
        <v>46326</v>
      </c>
      <c r="I23" s="17" t="s">
        <v>106</v>
      </c>
      <c r="J23" s="19" t="n">
        <f aca="false">INDEX('Reference Data'!$D$2:$D$6,MATCH(D23,'Reference Data'!$C$2:$C$6,0))</f>
        <v>0</v>
      </c>
    </row>
    <row r="24" customFormat="false" ht="23.85" hidden="false" customHeight="false" outlineLevel="0" collapsed="false">
      <c r="A24" s="17" t="s">
        <v>112</v>
      </c>
      <c r="B24" s="17" t="s">
        <v>113</v>
      </c>
      <c r="C24" s="17" t="s">
        <v>45</v>
      </c>
      <c r="D24" s="17" t="s">
        <v>43</v>
      </c>
      <c r="E24" s="17" t="s">
        <v>73</v>
      </c>
      <c r="F24" s="17" t="s">
        <v>76</v>
      </c>
      <c r="G24" s="17" t="s">
        <v>27</v>
      </c>
      <c r="H24" s="18" t="n">
        <f aca="false">IF(G24="N/A - Maintain","",Cover!$B$6+INDEX('Reference Data'!$G$2:$G$5,MATCH(G24,'Reference Data'!$F$2:$F$5,0)))</f>
        <v>46446</v>
      </c>
      <c r="I24" s="17" t="s">
        <v>106</v>
      </c>
      <c r="J24" s="19" t="n">
        <f aca="false">INDEX('Reference Data'!$D$2:$D$6,MATCH(D24,'Reference Data'!$C$2:$C$6,0))</f>
        <v>3</v>
      </c>
    </row>
    <row r="25" customFormat="false" ht="23.85" hidden="false" customHeight="false" outlineLevel="0" collapsed="false">
      <c r="A25" s="17" t="s">
        <v>114</v>
      </c>
      <c r="B25" s="17" t="s">
        <v>115</v>
      </c>
      <c r="C25" s="17" t="s">
        <v>45</v>
      </c>
      <c r="D25" s="17" t="s">
        <v>42</v>
      </c>
      <c r="E25" s="17"/>
      <c r="F25" s="17" t="s">
        <v>116</v>
      </c>
      <c r="G25" s="17" t="s">
        <v>25</v>
      </c>
      <c r="H25" s="18" t="n">
        <f aca="false">IF(G25="N/A - Maintain","",Cover!$B$6+INDEX('Reference Data'!$G$2:$G$5,MATCH(G25,'Reference Data'!$F$2:$F$5,0)))</f>
        <v>46386</v>
      </c>
      <c r="I25" s="17" t="s">
        <v>64</v>
      </c>
      <c r="J25" s="19" t="n">
        <f aca="false">INDEX('Reference Data'!$D$2:$D$6,MATCH(D25,'Reference Data'!$C$2:$C$6,0))</f>
        <v>2</v>
      </c>
    </row>
    <row r="26" customFormat="false" ht="23.85" hidden="false" customHeight="false" outlineLevel="0" collapsed="false">
      <c r="A26" s="17" t="s">
        <v>117</v>
      </c>
      <c r="B26" s="17" t="s">
        <v>118</v>
      </c>
      <c r="C26" s="17" t="s">
        <v>45</v>
      </c>
      <c r="D26" s="17" t="s">
        <v>44</v>
      </c>
      <c r="E26" s="17" t="s">
        <v>63</v>
      </c>
      <c r="F26" s="17"/>
      <c r="G26" s="17" t="s">
        <v>29</v>
      </c>
      <c r="H26" s="18" t="str">
        <f aca="false">IF(G26="N/A - Maintain","",Cover!$B$6+INDEX('Reference Data'!$G$2:$G$5,MATCH(G26,'Reference Data'!$F$2:$F$5,0)))</f>
        <v/>
      </c>
      <c r="I26" s="17" t="s">
        <v>119</v>
      </c>
      <c r="J26" s="19" t="n">
        <f aca="false">INDEX('Reference Data'!$D$2:$D$6,MATCH(D26,'Reference Data'!$C$2:$C$6,0))</f>
        <v>4</v>
      </c>
    </row>
    <row r="27" customFormat="false" ht="23.85" hidden="false" customHeight="false" outlineLevel="0" collapsed="false">
      <c r="A27" s="17" t="s">
        <v>120</v>
      </c>
      <c r="B27" s="17" t="s">
        <v>121</v>
      </c>
      <c r="C27" s="17" t="s">
        <v>45</v>
      </c>
      <c r="D27" s="17" t="s">
        <v>44</v>
      </c>
      <c r="E27" s="17" t="s">
        <v>67</v>
      </c>
      <c r="F27" s="17"/>
      <c r="G27" s="17" t="s">
        <v>29</v>
      </c>
      <c r="H27" s="18" t="str">
        <f aca="false">IF(G27="N/A - Maintain","",Cover!$B$6+INDEX('Reference Data'!$G$2:$G$5,MATCH(G27,'Reference Data'!$F$2:$F$5,0)))</f>
        <v/>
      </c>
      <c r="I27" s="17" t="s">
        <v>119</v>
      </c>
      <c r="J27" s="19" t="n">
        <f aca="false">INDEX('Reference Data'!$D$2:$D$6,MATCH(D27,'Reference Data'!$C$2:$C$6,0))</f>
        <v>4</v>
      </c>
    </row>
    <row r="28" customFormat="false" ht="23.85" hidden="false" customHeight="false" outlineLevel="0" collapsed="false">
      <c r="A28" s="17" t="s">
        <v>122</v>
      </c>
      <c r="B28" s="17" t="s">
        <v>123</v>
      </c>
      <c r="C28" s="17" t="s">
        <v>45</v>
      </c>
      <c r="D28" s="17" t="s">
        <v>44</v>
      </c>
      <c r="E28" s="17" t="s">
        <v>70</v>
      </c>
      <c r="F28" s="17"/>
      <c r="G28" s="17" t="s">
        <v>29</v>
      </c>
      <c r="H28" s="18" t="str">
        <f aca="false">IF(G28="N/A - Maintain","",Cover!$B$6+INDEX('Reference Data'!$G$2:$G$5,MATCH(G28,'Reference Data'!$F$2:$F$5,0)))</f>
        <v/>
      </c>
      <c r="I28" s="17" t="s">
        <v>119</v>
      </c>
      <c r="J28" s="19" t="n">
        <f aca="false">INDEX('Reference Data'!$D$2:$D$6,MATCH(D28,'Reference Data'!$C$2:$C$6,0))</f>
        <v>4</v>
      </c>
    </row>
    <row r="29" customFormat="false" ht="23.85" hidden="false" customHeight="false" outlineLevel="0" collapsed="false">
      <c r="A29" s="17" t="s">
        <v>124</v>
      </c>
      <c r="B29" s="17" t="s">
        <v>125</v>
      </c>
      <c r="C29" s="17" t="s">
        <v>45</v>
      </c>
      <c r="D29" s="17" t="s">
        <v>44</v>
      </c>
      <c r="E29" s="17" t="s">
        <v>73</v>
      </c>
      <c r="F29" s="17"/>
      <c r="G29" s="17" t="s">
        <v>29</v>
      </c>
      <c r="H29" s="18" t="str">
        <f aca="false">IF(G29="N/A - Maintain","",Cover!$B$6+INDEX('Reference Data'!$G$2:$G$5,MATCH(G29,'Reference Data'!$F$2:$F$5,0)))</f>
        <v/>
      </c>
      <c r="I29" s="17" t="s">
        <v>119</v>
      </c>
      <c r="J29" s="19" t="n">
        <f aca="false">INDEX('Reference Data'!$D$2:$D$6,MATCH(D29,'Reference Data'!$C$2:$C$6,0))</f>
        <v>4</v>
      </c>
    </row>
    <row r="30" customFormat="false" ht="23.85" hidden="false" customHeight="false" outlineLevel="0" collapsed="false">
      <c r="A30" s="17" t="s">
        <v>126</v>
      </c>
      <c r="B30" s="17" t="s">
        <v>127</v>
      </c>
      <c r="C30" s="17" t="s">
        <v>45</v>
      </c>
      <c r="D30" s="17" t="s">
        <v>40</v>
      </c>
      <c r="E30" s="17"/>
      <c r="F30" s="17" t="s">
        <v>128</v>
      </c>
      <c r="G30" s="17" t="s">
        <v>23</v>
      </c>
      <c r="H30" s="18" t="n">
        <f aca="false">IF(G30="N/A - Maintain","",Cover!$B$6+INDEX('Reference Data'!$G$2:$G$5,MATCH(G30,'Reference Data'!$F$2:$F$5,0)))</f>
        <v>46326</v>
      </c>
      <c r="I30" s="17" t="s">
        <v>119</v>
      </c>
      <c r="J30" s="19" t="n">
        <f aca="false">INDEX('Reference Data'!$D$2:$D$6,MATCH(D30,'Reference Data'!$C$2:$C$6,0))</f>
        <v>0</v>
      </c>
    </row>
    <row r="31" customFormat="false" ht="23.85" hidden="false" customHeight="false" outlineLevel="0" collapsed="false">
      <c r="A31" s="17" t="s">
        <v>129</v>
      </c>
      <c r="B31" s="17" t="s">
        <v>130</v>
      </c>
      <c r="C31" s="17" t="s">
        <v>45</v>
      </c>
      <c r="D31" s="17" t="s">
        <v>43</v>
      </c>
      <c r="E31" s="17" t="s">
        <v>63</v>
      </c>
      <c r="F31" s="17" t="s">
        <v>76</v>
      </c>
      <c r="G31" s="17" t="s">
        <v>27</v>
      </c>
      <c r="H31" s="18" t="n">
        <f aca="false">IF(G31="N/A - Maintain","",Cover!$B$6+INDEX('Reference Data'!$G$2:$G$5,MATCH(G31,'Reference Data'!$F$2:$F$5,0)))</f>
        <v>46446</v>
      </c>
      <c r="I31" s="17" t="s">
        <v>64</v>
      </c>
      <c r="J31" s="19" t="n">
        <f aca="false">INDEX('Reference Data'!$D$2:$D$6,MATCH(D31,'Reference Data'!$C$2:$C$6,0))</f>
        <v>3</v>
      </c>
    </row>
    <row r="32" customFormat="false" ht="23.85" hidden="false" customHeight="false" outlineLevel="0" collapsed="false">
      <c r="A32" s="17" t="s">
        <v>131</v>
      </c>
      <c r="B32" s="17" t="s">
        <v>132</v>
      </c>
      <c r="C32" s="17" t="s">
        <v>45</v>
      </c>
      <c r="D32" s="17" t="s">
        <v>40</v>
      </c>
      <c r="E32" s="17"/>
      <c r="F32" s="17" t="s">
        <v>133</v>
      </c>
      <c r="G32" s="17" t="s">
        <v>23</v>
      </c>
      <c r="H32" s="18" t="n">
        <f aca="false">IF(G32="N/A - Maintain","",Cover!$B$6+INDEX('Reference Data'!$G$2:$G$5,MATCH(G32,'Reference Data'!$F$2:$F$5,0)))</f>
        <v>46326</v>
      </c>
      <c r="I32" s="17" t="s">
        <v>64</v>
      </c>
      <c r="J32" s="19" t="n">
        <f aca="false">INDEX('Reference Data'!$D$2:$D$6,MATCH(D32,'Reference Data'!$C$2:$C$6,0))</f>
        <v>0</v>
      </c>
    </row>
    <row r="33" customFormat="false" ht="23.85" hidden="false" customHeight="false" outlineLevel="0" collapsed="false">
      <c r="A33" s="17" t="s">
        <v>134</v>
      </c>
      <c r="B33" s="17" t="s">
        <v>135</v>
      </c>
      <c r="C33" s="17" t="s">
        <v>45</v>
      </c>
      <c r="D33" s="17" t="s">
        <v>44</v>
      </c>
      <c r="E33" s="17" t="s">
        <v>67</v>
      </c>
      <c r="F33" s="17"/>
      <c r="G33" s="17" t="s">
        <v>29</v>
      </c>
      <c r="H33" s="18" t="str">
        <f aca="false">IF(G33="N/A - Maintain","",Cover!$B$6+INDEX('Reference Data'!$G$2:$G$5,MATCH(G33,'Reference Data'!$F$2:$F$5,0)))</f>
        <v/>
      </c>
      <c r="I33" s="17" t="s">
        <v>136</v>
      </c>
      <c r="J33" s="19" t="n">
        <f aca="false">INDEX('Reference Data'!$D$2:$D$6,MATCH(D33,'Reference Data'!$C$2:$C$6,0))</f>
        <v>4</v>
      </c>
    </row>
    <row r="34" customFormat="false" ht="23.85" hidden="false" customHeight="false" outlineLevel="0" collapsed="false">
      <c r="A34" s="17" t="s">
        <v>137</v>
      </c>
      <c r="B34" s="17" t="s">
        <v>138</v>
      </c>
      <c r="C34" s="17" t="s">
        <v>45</v>
      </c>
      <c r="D34" s="17" t="s">
        <v>44</v>
      </c>
      <c r="E34" s="17" t="s">
        <v>70</v>
      </c>
      <c r="F34" s="17"/>
      <c r="G34" s="17" t="s">
        <v>29</v>
      </c>
      <c r="H34" s="18" t="str">
        <f aca="false">IF(G34="N/A - Maintain","",Cover!$B$6+INDEX('Reference Data'!$G$2:$G$5,MATCH(G34,'Reference Data'!$F$2:$F$5,0)))</f>
        <v/>
      </c>
      <c r="I34" s="17" t="s">
        <v>139</v>
      </c>
      <c r="J34" s="19" t="n">
        <f aca="false">INDEX('Reference Data'!$D$2:$D$6,MATCH(D34,'Reference Data'!$C$2:$C$6,0))</f>
        <v>4</v>
      </c>
    </row>
    <row r="35" customFormat="false" ht="23.85" hidden="false" customHeight="false" outlineLevel="0" collapsed="false">
      <c r="A35" s="17" t="s">
        <v>140</v>
      </c>
      <c r="B35" s="17" t="s">
        <v>141</v>
      </c>
      <c r="C35" s="17" t="s">
        <v>45</v>
      </c>
      <c r="D35" s="17" t="s">
        <v>44</v>
      </c>
      <c r="E35" s="17" t="s">
        <v>73</v>
      </c>
      <c r="F35" s="17"/>
      <c r="G35" s="17" t="s">
        <v>29</v>
      </c>
      <c r="H35" s="18" t="str">
        <f aca="false">IF(G35="N/A - Maintain","",Cover!$B$6+INDEX('Reference Data'!$G$2:$G$5,MATCH(G35,'Reference Data'!$F$2:$F$5,0)))</f>
        <v/>
      </c>
      <c r="I35" s="17" t="s">
        <v>136</v>
      </c>
      <c r="J35" s="19" t="n">
        <f aca="false">INDEX('Reference Data'!$D$2:$D$6,MATCH(D35,'Reference Data'!$C$2:$C$6,0))</f>
        <v>4</v>
      </c>
    </row>
    <row r="36" customFormat="false" ht="23.85" hidden="false" customHeight="false" outlineLevel="0" collapsed="false">
      <c r="A36" s="17" t="s">
        <v>142</v>
      </c>
      <c r="B36" s="17" t="s">
        <v>143</v>
      </c>
      <c r="C36" s="17" t="s">
        <v>45</v>
      </c>
      <c r="D36" s="17" t="s">
        <v>44</v>
      </c>
      <c r="E36" s="17" t="s">
        <v>63</v>
      </c>
      <c r="F36" s="17"/>
      <c r="G36" s="17" t="s">
        <v>29</v>
      </c>
      <c r="H36" s="18" t="str">
        <f aca="false">IF(G36="N/A - Maintain","",Cover!$B$6+INDEX('Reference Data'!$G$2:$G$5,MATCH(G36,'Reference Data'!$F$2:$F$5,0)))</f>
        <v/>
      </c>
      <c r="I36" s="17" t="s">
        <v>136</v>
      </c>
      <c r="J36" s="19" t="n">
        <f aca="false">INDEX('Reference Data'!$D$2:$D$6,MATCH(D36,'Reference Data'!$C$2:$C$6,0))</f>
        <v>4</v>
      </c>
    </row>
    <row r="37" customFormat="false" ht="23.85" hidden="false" customHeight="false" outlineLevel="0" collapsed="false">
      <c r="A37" s="17" t="s">
        <v>144</v>
      </c>
      <c r="B37" s="17" t="s">
        <v>145</v>
      </c>
      <c r="C37" s="17" t="s">
        <v>45</v>
      </c>
      <c r="D37" s="17" t="s">
        <v>42</v>
      </c>
      <c r="E37" s="17"/>
      <c r="F37" s="17" t="s">
        <v>146</v>
      </c>
      <c r="G37" s="17" t="s">
        <v>25</v>
      </c>
      <c r="H37" s="18" t="n">
        <f aca="false">IF(G37="N/A - Maintain","",Cover!$B$6+INDEX('Reference Data'!$G$2:$G$5,MATCH(G37,'Reference Data'!$F$2:$F$5,0)))</f>
        <v>46386</v>
      </c>
      <c r="I37" s="17" t="s">
        <v>64</v>
      </c>
      <c r="J37" s="19" t="n">
        <f aca="false">INDEX('Reference Data'!$D$2:$D$6,MATCH(D37,'Reference Data'!$C$2:$C$6,0))</f>
        <v>2</v>
      </c>
    </row>
    <row r="38" customFormat="false" ht="23.85" hidden="false" customHeight="false" outlineLevel="0" collapsed="false">
      <c r="A38" s="17" t="s">
        <v>147</v>
      </c>
      <c r="B38" s="17" t="s">
        <v>148</v>
      </c>
      <c r="C38" s="17" t="s">
        <v>45</v>
      </c>
      <c r="D38" s="17" t="s">
        <v>43</v>
      </c>
      <c r="E38" s="17" t="s">
        <v>67</v>
      </c>
      <c r="F38" s="17" t="s">
        <v>76</v>
      </c>
      <c r="G38" s="17" t="s">
        <v>27</v>
      </c>
      <c r="H38" s="18" t="n">
        <f aca="false">IF(G38="N/A - Maintain","",Cover!$B$6+INDEX('Reference Data'!$G$2:$G$5,MATCH(G38,'Reference Data'!$F$2:$F$5,0)))</f>
        <v>46446</v>
      </c>
      <c r="I38" s="17" t="s">
        <v>64</v>
      </c>
      <c r="J38" s="19" t="n">
        <f aca="false">INDEX('Reference Data'!$D$2:$D$6,MATCH(D38,'Reference Data'!$C$2:$C$6,0))</f>
        <v>3</v>
      </c>
    </row>
    <row r="39" customFormat="false" ht="23.85" hidden="false" customHeight="false" outlineLevel="0" collapsed="false">
      <c r="A39" s="17" t="s">
        <v>149</v>
      </c>
      <c r="B39" s="17" t="s">
        <v>150</v>
      </c>
      <c r="C39" s="17" t="s">
        <v>45</v>
      </c>
      <c r="D39" s="17" t="s">
        <v>44</v>
      </c>
      <c r="E39" s="17" t="s">
        <v>70</v>
      </c>
      <c r="F39" s="17"/>
      <c r="G39" s="17" t="s">
        <v>29</v>
      </c>
      <c r="H39" s="18" t="str">
        <f aca="false">IF(G39="N/A - Maintain","",Cover!$B$6+INDEX('Reference Data'!$G$2:$G$5,MATCH(G39,'Reference Data'!$F$2:$F$5,0)))</f>
        <v/>
      </c>
      <c r="I39" s="17" t="s">
        <v>64</v>
      </c>
      <c r="J39" s="19" t="n">
        <f aca="false">INDEX('Reference Data'!$D$2:$D$6,MATCH(D39,'Reference Data'!$C$2:$C$6,0))</f>
        <v>4</v>
      </c>
    </row>
    <row r="40" customFormat="false" ht="23.85" hidden="false" customHeight="false" outlineLevel="0" collapsed="false">
      <c r="A40" s="17" t="s">
        <v>151</v>
      </c>
      <c r="B40" s="17" t="s">
        <v>152</v>
      </c>
      <c r="C40" s="17" t="s">
        <v>46</v>
      </c>
      <c r="D40" s="17" t="s">
        <v>44</v>
      </c>
      <c r="E40" s="17" t="s">
        <v>153</v>
      </c>
      <c r="F40" s="17"/>
      <c r="G40" s="17" t="s">
        <v>29</v>
      </c>
      <c r="H40" s="18" t="str">
        <f aca="false">IF(G40="N/A - Maintain","",Cover!$B$6+INDEX('Reference Data'!$G$2:$G$5,MATCH(G40,'Reference Data'!$F$2:$F$5,0)))</f>
        <v/>
      </c>
      <c r="I40" s="17" t="s">
        <v>154</v>
      </c>
      <c r="J40" s="19" t="n">
        <f aca="false">INDEX('Reference Data'!$D$2:$D$6,MATCH(D40,'Reference Data'!$C$2:$C$6,0))</f>
        <v>4</v>
      </c>
    </row>
    <row r="41" customFormat="false" ht="23.85" hidden="false" customHeight="false" outlineLevel="0" collapsed="false">
      <c r="A41" s="17" t="s">
        <v>155</v>
      </c>
      <c r="B41" s="17" t="s">
        <v>156</v>
      </c>
      <c r="C41" s="17" t="s">
        <v>46</v>
      </c>
      <c r="D41" s="17" t="s">
        <v>44</v>
      </c>
      <c r="E41" s="17" t="s">
        <v>157</v>
      </c>
      <c r="F41" s="17"/>
      <c r="G41" s="17" t="s">
        <v>29</v>
      </c>
      <c r="H41" s="18" t="str">
        <f aca="false">IF(G41="N/A - Maintain","",Cover!$B$6+INDEX('Reference Data'!$G$2:$G$5,MATCH(G41,'Reference Data'!$F$2:$F$5,0)))</f>
        <v/>
      </c>
      <c r="I41" s="17" t="s">
        <v>154</v>
      </c>
      <c r="J41" s="19" t="n">
        <f aca="false">INDEX('Reference Data'!$D$2:$D$6,MATCH(D41,'Reference Data'!$C$2:$C$6,0))</f>
        <v>4</v>
      </c>
    </row>
    <row r="42" customFormat="false" ht="23.85" hidden="false" customHeight="false" outlineLevel="0" collapsed="false">
      <c r="A42" s="17" t="s">
        <v>158</v>
      </c>
      <c r="B42" s="17" t="s">
        <v>159</v>
      </c>
      <c r="C42" s="17" t="s">
        <v>46</v>
      </c>
      <c r="D42" s="17" t="s">
        <v>44</v>
      </c>
      <c r="E42" s="17" t="s">
        <v>160</v>
      </c>
      <c r="F42" s="17"/>
      <c r="G42" s="17" t="s">
        <v>29</v>
      </c>
      <c r="H42" s="18" t="str">
        <f aca="false">IF(G42="N/A - Maintain","",Cover!$B$6+INDEX('Reference Data'!$G$2:$G$5,MATCH(G42,'Reference Data'!$F$2:$F$5,0)))</f>
        <v/>
      </c>
      <c r="I42" s="17" t="s">
        <v>154</v>
      </c>
      <c r="J42" s="19" t="n">
        <f aca="false">INDEX('Reference Data'!$D$2:$D$6,MATCH(D42,'Reference Data'!$C$2:$C$6,0))</f>
        <v>4</v>
      </c>
    </row>
    <row r="43" customFormat="false" ht="23.85" hidden="false" customHeight="false" outlineLevel="0" collapsed="false">
      <c r="A43" s="17" t="s">
        <v>161</v>
      </c>
      <c r="B43" s="17" t="s">
        <v>162</v>
      </c>
      <c r="C43" s="17" t="s">
        <v>46</v>
      </c>
      <c r="D43" s="17" t="s">
        <v>44</v>
      </c>
      <c r="E43" s="17" t="s">
        <v>153</v>
      </c>
      <c r="F43" s="17"/>
      <c r="G43" s="17" t="s">
        <v>29</v>
      </c>
      <c r="H43" s="18" t="str">
        <f aca="false">IF(G43="N/A - Maintain","",Cover!$B$6+INDEX('Reference Data'!$G$2:$G$5,MATCH(G43,'Reference Data'!$F$2:$F$5,0)))</f>
        <v/>
      </c>
      <c r="I43" s="17" t="s">
        <v>154</v>
      </c>
      <c r="J43" s="19" t="n">
        <f aca="false">INDEX('Reference Data'!$D$2:$D$6,MATCH(D43,'Reference Data'!$C$2:$C$6,0))</f>
        <v>4</v>
      </c>
    </row>
    <row r="44" customFormat="false" ht="23.85" hidden="false" customHeight="false" outlineLevel="0" collapsed="false">
      <c r="A44" s="17" t="s">
        <v>163</v>
      </c>
      <c r="B44" s="17" t="s">
        <v>164</v>
      </c>
      <c r="C44" s="17" t="s">
        <v>46</v>
      </c>
      <c r="D44" s="17" t="s">
        <v>43</v>
      </c>
      <c r="E44" s="17" t="s">
        <v>157</v>
      </c>
      <c r="F44" s="17" t="s">
        <v>76</v>
      </c>
      <c r="G44" s="17" t="s">
        <v>27</v>
      </c>
      <c r="H44" s="18" t="n">
        <f aca="false">IF(G44="N/A - Maintain","",Cover!$B$6+INDEX('Reference Data'!$G$2:$G$5,MATCH(G44,'Reference Data'!$F$2:$F$5,0)))</f>
        <v>46446</v>
      </c>
      <c r="I44" s="17" t="s">
        <v>154</v>
      </c>
      <c r="J44" s="19" t="n">
        <f aca="false">INDEX('Reference Data'!$D$2:$D$6,MATCH(D44,'Reference Data'!$C$2:$C$6,0))</f>
        <v>3</v>
      </c>
    </row>
    <row r="45" customFormat="false" ht="23.85" hidden="false" customHeight="false" outlineLevel="0" collapsed="false">
      <c r="A45" s="17" t="s">
        <v>165</v>
      </c>
      <c r="B45" s="17" t="s">
        <v>166</v>
      </c>
      <c r="C45" s="17" t="s">
        <v>46</v>
      </c>
      <c r="D45" s="17" t="s">
        <v>44</v>
      </c>
      <c r="E45" s="17" t="s">
        <v>160</v>
      </c>
      <c r="F45" s="17"/>
      <c r="G45" s="17" t="s">
        <v>29</v>
      </c>
      <c r="H45" s="18" t="str">
        <f aca="false">IF(G45="N/A - Maintain","",Cover!$B$6+INDEX('Reference Data'!$G$2:$G$5,MATCH(G45,'Reference Data'!$F$2:$F$5,0)))</f>
        <v/>
      </c>
      <c r="I45" s="17" t="s">
        <v>154</v>
      </c>
      <c r="J45" s="19" t="n">
        <f aca="false">INDEX('Reference Data'!$D$2:$D$6,MATCH(D45,'Reference Data'!$C$2:$C$6,0))</f>
        <v>4</v>
      </c>
    </row>
    <row r="46" customFormat="false" ht="23.85" hidden="false" customHeight="false" outlineLevel="0" collapsed="false">
      <c r="A46" s="17" t="s">
        <v>167</v>
      </c>
      <c r="B46" s="17" t="s">
        <v>168</v>
      </c>
      <c r="C46" s="17" t="s">
        <v>46</v>
      </c>
      <c r="D46" s="17" t="s">
        <v>42</v>
      </c>
      <c r="E46" s="17"/>
      <c r="F46" s="17" t="s">
        <v>169</v>
      </c>
      <c r="G46" s="17" t="s">
        <v>25</v>
      </c>
      <c r="H46" s="18" t="n">
        <f aca="false">IF(G46="N/A - Maintain","",Cover!$B$6+INDEX('Reference Data'!$G$2:$G$5,MATCH(G46,'Reference Data'!$F$2:$F$5,0)))</f>
        <v>46386</v>
      </c>
      <c r="I46" s="17" t="s">
        <v>154</v>
      </c>
      <c r="J46" s="19" t="n">
        <f aca="false">INDEX('Reference Data'!$D$2:$D$6,MATCH(D46,'Reference Data'!$C$2:$C$6,0))</f>
        <v>2</v>
      </c>
    </row>
    <row r="47" customFormat="false" ht="23.85" hidden="false" customHeight="false" outlineLevel="0" collapsed="false">
      <c r="A47" s="17" t="s">
        <v>170</v>
      </c>
      <c r="B47" s="17" t="s">
        <v>171</v>
      </c>
      <c r="C47" s="17" t="s">
        <v>46</v>
      </c>
      <c r="D47" s="17" t="s">
        <v>44</v>
      </c>
      <c r="E47" s="17" t="s">
        <v>153</v>
      </c>
      <c r="F47" s="17"/>
      <c r="G47" s="17" t="s">
        <v>29</v>
      </c>
      <c r="H47" s="18" t="str">
        <f aca="false">IF(G47="N/A - Maintain","",Cover!$B$6+INDEX('Reference Data'!$G$2:$G$5,MATCH(G47,'Reference Data'!$F$2:$F$5,0)))</f>
        <v/>
      </c>
      <c r="I47" s="17" t="s">
        <v>154</v>
      </c>
      <c r="J47" s="19" t="n">
        <f aca="false">INDEX('Reference Data'!$D$2:$D$6,MATCH(D47,'Reference Data'!$C$2:$C$6,0))</f>
        <v>4</v>
      </c>
    </row>
    <row r="48" customFormat="false" ht="23.85" hidden="false" customHeight="false" outlineLevel="0" collapsed="false">
      <c r="A48" s="17" t="s">
        <v>172</v>
      </c>
      <c r="B48" s="17" t="s">
        <v>173</v>
      </c>
      <c r="C48" s="17" t="s">
        <v>47</v>
      </c>
      <c r="D48" s="17" t="s">
        <v>44</v>
      </c>
      <c r="E48" s="17" t="s">
        <v>174</v>
      </c>
      <c r="F48" s="17"/>
      <c r="G48" s="17" t="s">
        <v>29</v>
      </c>
      <c r="H48" s="18" t="str">
        <f aca="false">IF(G48="N/A - Maintain","",Cover!$B$6+INDEX('Reference Data'!$G$2:$G$5,MATCH(G48,'Reference Data'!$F$2:$F$5,0)))</f>
        <v/>
      </c>
      <c r="I48" s="17" t="s">
        <v>175</v>
      </c>
      <c r="J48" s="19" t="n">
        <f aca="false">INDEX('Reference Data'!$D$2:$D$6,MATCH(D48,'Reference Data'!$C$2:$C$6,0))</f>
        <v>4</v>
      </c>
    </row>
    <row r="49" customFormat="false" ht="23.85" hidden="false" customHeight="false" outlineLevel="0" collapsed="false">
      <c r="A49" s="17" t="s">
        <v>176</v>
      </c>
      <c r="B49" s="17" t="s">
        <v>177</v>
      </c>
      <c r="C49" s="17" t="s">
        <v>47</v>
      </c>
      <c r="D49" s="17" t="s">
        <v>44</v>
      </c>
      <c r="E49" s="17" t="s">
        <v>178</v>
      </c>
      <c r="F49" s="17"/>
      <c r="G49" s="17" t="s">
        <v>29</v>
      </c>
      <c r="H49" s="18" t="str">
        <f aca="false">IF(G49="N/A - Maintain","",Cover!$B$6+INDEX('Reference Data'!$G$2:$G$5,MATCH(G49,'Reference Data'!$F$2:$F$5,0)))</f>
        <v/>
      </c>
      <c r="I49" s="17" t="s">
        <v>175</v>
      </c>
      <c r="J49" s="19" t="n">
        <f aca="false">INDEX('Reference Data'!$D$2:$D$6,MATCH(D49,'Reference Data'!$C$2:$C$6,0))</f>
        <v>4</v>
      </c>
    </row>
    <row r="50" customFormat="false" ht="23.85" hidden="false" customHeight="false" outlineLevel="0" collapsed="false">
      <c r="A50" s="17" t="s">
        <v>179</v>
      </c>
      <c r="B50" s="17" t="s">
        <v>180</v>
      </c>
      <c r="C50" s="17" t="s">
        <v>47</v>
      </c>
      <c r="D50" s="17" t="s">
        <v>44</v>
      </c>
      <c r="E50" s="17" t="s">
        <v>181</v>
      </c>
      <c r="F50" s="17"/>
      <c r="G50" s="17" t="s">
        <v>29</v>
      </c>
      <c r="H50" s="18" t="str">
        <f aca="false">IF(G50="N/A - Maintain","",Cover!$B$6+INDEX('Reference Data'!$G$2:$G$5,MATCH(G50,'Reference Data'!$F$2:$F$5,0)))</f>
        <v/>
      </c>
      <c r="I50" s="17" t="s">
        <v>175</v>
      </c>
      <c r="J50" s="19" t="n">
        <f aca="false">INDEX('Reference Data'!$D$2:$D$6,MATCH(D50,'Reference Data'!$C$2:$C$6,0))</f>
        <v>4</v>
      </c>
    </row>
    <row r="51" customFormat="false" ht="23.85" hidden="false" customHeight="false" outlineLevel="0" collapsed="false">
      <c r="A51" s="17" t="s">
        <v>182</v>
      </c>
      <c r="B51" s="17" t="s">
        <v>183</v>
      </c>
      <c r="C51" s="17" t="s">
        <v>47</v>
      </c>
      <c r="D51" s="17" t="s">
        <v>42</v>
      </c>
      <c r="E51" s="17"/>
      <c r="F51" s="17" t="s">
        <v>184</v>
      </c>
      <c r="G51" s="17" t="s">
        <v>25</v>
      </c>
      <c r="H51" s="18" t="n">
        <f aca="false">IF(G51="N/A - Maintain","",Cover!$B$6+INDEX('Reference Data'!$G$2:$G$5,MATCH(G51,'Reference Data'!$F$2:$F$5,0)))</f>
        <v>46386</v>
      </c>
      <c r="I51" s="17" t="s">
        <v>175</v>
      </c>
      <c r="J51" s="19" t="n">
        <f aca="false">INDEX('Reference Data'!$D$2:$D$6,MATCH(D51,'Reference Data'!$C$2:$C$6,0))</f>
        <v>2</v>
      </c>
    </row>
    <row r="52" customFormat="false" ht="23.85" hidden="false" customHeight="false" outlineLevel="0" collapsed="false">
      <c r="A52" s="17" t="s">
        <v>185</v>
      </c>
      <c r="B52" s="17" t="s">
        <v>186</v>
      </c>
      <c r="C52" s="17" t="s">
        <v>47</v>
      </c>
      <c r="D52" s="17" t="s">
        <v>44</v>
      </c>
      <c r="E52" s="17" t="s">
        <v>174</v>
      </c>
      <c r="F52" s="17"/>
      <c r="G52" s="17" t="s">
        <v>29</v>
      </c>
      <c r="H52" s="18" t="str">
        <f aca="false">IF(G52="N/A - Maintain","",Cover!$B$6+INDEX('Reference Data'!$G$2:$G$5,MATCH(G52,'Reference Data'!$F$2:$F$5,0)))</f>
        <v/>
      </c>
      <c r="I52" s="17" t="s">
        <v>175</v>
      </c>
      <c r="J52" s="19" t="n">
        <f aca="false">INDEX('Reference Data'!$D$2:$D$6,MATCH(D52,'Reference Data'!$C$2:$C$6,0))</f>
        <v>4</v>
      </c>
    </row>
    <row r="53" customFormat="false" ht="23.85" hidden="false" customHeight="false" outlineLevel="0" collapsed="false">
      <c r="A53" s="17" t="s">
        <v>187</v>
      </c>
      <c r="B53" s="17" t="s">
        <v>188</v>
      </c>
      <c r="C53" s="17" t="s">
        <v>47</v>
      </c>
      <c r="D53" s="17" t="s">
        <v>43</v>
      </c>
      <c r="E53" s="17" t="s">
        <v>178</v>
      </c>
      <c r="F53" s="17" t="s">
        <v>76</v>
      </c>
      <c r="G53" s="17" t="s">
        <v>27</v>
      </c>
      <c r="H53" s="18" t="n">
        <f aca="false">IF(G53="N/A - Maintain","",Cover!$B$6+INDEX('Reference Data'!$G$2:$G$5,MATCH(G53,'Reference Data'!$F$2:$F$5,0)))</f>
        <v>46446</v>
      </c>
      <c r="I53" s="17" t="s">
        <v>175</v>
      </c>
      <c r="J53" s="19" t="n">
        <f aca="false">INDEX('Reference Data'!$D$2:$D$6,MATCH(D53,'Reference Data'!$C$2:$C$6,0))</f>
        <v>3</v>
      </c>
    </row>
    <row r="54" customFormat="false" ht="23.85" hidden="false" customHeight="false" outlineLevel="0" collapsed="false">
      <c r="A54" s="17" t="s">
        <v>189</v>
      </c>
      <c r="B54" s="17" t="s">
        <v>190</v>
      </c>
      <c r="C54" s="17" t="s">
        <v>47</v>
      </c>
      <c r="D54" s="17" t="s">
        <v>44</v>
      </c>
      <c r="E54" s="17" t="s">
        <v>181</v>
      </c>
      <c r="F54" s="17"/>
      <c r="G54" s="17" t="s">
        <v>29</v>
      </c>
      <c r="H54" s="18" t="str">
        <f aca="false">IF(G54="N/A - Maintain","",Cover!$B$6+INDEX('Reference Data'!$G$2:$G$5,MATCH(G54,'Reference Data'!$F$2:$F$5,0)))</f>
        <v/>
      </c>
      <c r="I54" s="17" t="s">
        <v>175</v>
      </c>
      <c r="J54" s="19" t="n">
        <f aca="false">INDEX('Reference Data'!$D$2:$D$6,MATCH(D54,'Reference Data'!$C$2:$C$6,0))</f>
        <v>4</v>
      </c>
    </row>
    <row r="55" customFormat="false" ht="23.85" hidden="false" customHeight="false" outlineLevel="0" collapsed="false">
      <c r="A55" s="17" t="s">
        <v>191</v>
      </c>
      <c r="B55" s="17" t="s">
        <v>192</v>
      </c>
      <c r="C55" s="17" t="s">
        <v>47</v>
      </c>
      <c r="D55" s="17" t="s">
        <v>44</v>
      </c>
      <c r="E55" s="17" t="s">
        <v>174</v>
      </c>
      <c r="F55" s="17"/>
      <c r="G55" s="17" t="s">
        <v>29</v>
      </c>
      <c r="H55" s="18" t="str">
        <f aca="false">IF(G55="N/A - Maintain","",Cover!$B$6+INDEX('Reference Data'!$G$2:$G$5,MATCH(G55,'Reference Data'!$F$2:$F$5,0)))</f>
        <v/>
      </c>
      <c r="I55" s="17" t="s">
        <v>175</v>
      </c>
      <c r="J55" s="19" t="n">
        <f aca="false">INDEX('Reference Data'!$D$2:$D$6,MATCH(D55,'Reference Data'!$C$2:$C$6,0))</f>
        <v>4</v>
      </c>
    </row>
    <row r="56" customFormat="false" ht="23.85" hidden="false" customHeight="false" outlineLevel="0" collapsed="false">
      <c r="A56" s="17" t="s">
        <v>193</v>
      </c>
      <c r="B56" s="17" t="s">
        <v>194</v>
      </c>
      <c r="C56" s="17" t="s">
        <v>47</v>
      </c>
      <c r="D56" s="17" t="s">
        <v>42</v>
      </c>
      <c r="E56" s="17"/>
      <c r="F56" s="17" t="s">
        <v>195</v>
      </c>
      <c r="G56" s="17" t="s">
        <v>25</v>
      </c>
      <c r="H56" s="18" t="n">
        <f aca="false">IF(G56="N/A - Maintain","",Cover!$B$6+INDEX('Reference Data'!$G$2:$G$5,MATCH(G56,'Reference Data'!$F$2:$F$5,0)))</f>
        <v>46386</v>
      </c>
      <c r="I56" s="17" t="s">
        <v>175</v>
      </c>
      <c r="J56" s="19" t="n">
        <f aca="false">INDEX('Reference Data'!$D$2:$D$6,MATCH(D56,'Reference Data'!$C$2:$C$6,0))</f>
        <v>2</v>
      </c>
    </row>
    <row r="57" customFormat="false" ht="23.85" hidden="false" customHeight="false" outlineLevel="0" collapsed="false">
      <c r="A57" s="17" t="s">
        <v>196</v>
      </c>
      <c r="B57" s="17" t="s">
        <v>197</v>
      </c>
      <c r="C57" s="17" t="s">
        <v>47</v>
      </c>
      <c r="D57" s="17" t="s">
        <v>44</v>
      </c>
      <c r="E57" s="17" t="s">
        <v>178</v>
      </c>
      <c r="F57" s="17"/>
      <c r="G57" s="17" t="s">
        <v>29</v>
      </c>
      <c r="H57" s="18" t="str">
        <f aca="false">IF(G57="N/A - Maintain","",Cover!$B$6+INDEX('Reference Data'!$G$2:$G$5,MATCH(G57,'Reference Data'!$F$2:$F$5,0)))</f>
        <v/>
      </c>
      <c r="I57" s="17" t="s">
        <v>175</v>
      </c>
      <c r="J57" s="19" t="n">
        <f aca="false">INDEX('Reference Data'!$D$2:$D$6,MATCH(D57,'Reference Data'!$C$2:$C$6,0))</f>
        <v>4</v>
      </c>
    </row>
    <row r="58" customFormat="false" ht="23.85" hidden="false" customHeight="false" outlineLevel="0" collapsed="false">
      <c r="A58" s="17" t="s">
        <v>198</v>
      </c>
      <c r="B58" s="17" t="s">
        <v>199</v>
      </c>
      <c r="C58" s="17" t="s">
        <v>47</v>
      </c>
      <c r="D58" s="17" t="s">
        <v>44</v>
      </c>
      <c r="E58" s="17" t="s">
        <v>181</v>
      </c>
      <c r="F58" s="17"/>
      <c r="G58" s="17" t="s">
        <v>29</v>
      </c>
      <c r="H58" s="18" t="str">
        <f aca="false">IF(G58="N/A - Maintain","",Cover!$B$6+INDEX('Reference Data'!$G$2:$G$5,MATCH(G58,'Reference Data'!$F$2:$F$5,0)))</f>
        <v/>
      </c>
      <c r="I58" s="17" t="s">
        <v>175</v>
      </c>
      <c r="J58" s="19" t="n">
        <f aca="false">INDEX('Reference Data'!$D$2:$D$6,MATCH(D58,'Reference Data'!$C$2:$C$6,0))</f>
        <v>4</v>
      </c>
    </row>
    <row r="59" customFormat="false" ht="23.85" hidden="false" customHeight="false" outlineLevel="0" collapsed="false">
      <c r="A59" s="17" t="s">
        <v>200</v>
      </c>
      <c r="B59" s="17" t="s">
        <v>201</v>
      </c>
      <c r="C59" s="17" t="s">
        <v>47</v>
      </c>
      <c r="D59" s="17" t="s">
        <v>43</v>
      </c>
      <c r="E59" s="17" t="s">
        <v>174</v>
      </c>
      <c r="F59" s="17" t="s">
        <v>76</v>
      </c>
      <c r="G59" s="17" t="s">
        <v>27</v>
      </c>
      <c r="H59" s="18" t="n">
        <f aca="false">IF(G59="N/A - Maintain","",Cover!$B$6+INDEX('Reference Data'!$G$2:$G$5,MATCH(G59,'Reference Data'!$F$2:$F$5,0)))</f>
        <v>46446</v>
      </c>
      <c r="I59" s="17" t="s">
        <v>175</v>
      </c>
      <c r="J59" s="19" t="n">
        <f aca="false">INDEX('Reference Data'!$D$2:$D$6,MATCH(D59,'Reference Data'!$C$2:$C$6,0))</f>
        <v>3</v>
      </c>
    </row>
    <row r="60" customFormat="false" ht="23.85" hidden="false" customHeight="false" outlineLevel="0" collapsed="false">
      <c r="A60" s="17" t="s">
        <v>202</v>
      </c>
      <c r="B60" s="17" t="s">
        <v>203</v>
      </c>
      <c r="C60" s="17" t="s">
        <v>47</v>
      </c>
      <c r="D60" s="17" t="s">
        <v>44</v>
      </c>
      <c r="E60" s="17" t="s">
        <v>178</v>
      </c>
      <c r="F60" s="17"/>
      <c r="G60" s="17" t="s">
        <v>29</v>
      </c>
      <c r="H60" s="18" t="str">
        <f aca="false">IF(G60="N/A - Maintain","",Cover!$B$6+INDEX('Reference Data'!$G$2:$G$5,MATCH(G60,'Reference Data'!$F$2:$F$5,0)))</f>
        <v/>
      </c>
      <c r="I60" s="17" t="s">
        <v>175</v>
      </c>
      <c r="J60" s="19" t="n">
        <f aca="false">INDEX('Reference Data'!$D$2:$D$6,MATCH(D60,'Reference Data'!$C$2:$C$6,0))</f>
        <v>4</v>
      </c>
    </row>
    <row r="61" customFormat="false" ht="23.85" hidden="false" customHeight="false" outlineLevel="0" collapsed="false">
      <c r="A61" s="17" t="s">
        <v>204</v>
      </c>
      <c r="B61" s="17" t="s">
        <v>205</v>
      </c>
      <c r="C61" s="17" t="s">
        <v>47</v>
      </c>
      <c r="D61" s="17" t="s">
        <v>44</v>
      </c>
      <c r="E61" s="17" t="s">
        <v>181</v>
      </c>
      <c r="F61" s="17"/>
      <c r="G61" s="17" t="s">
        <v>29</v>
      </c>
      <c r="H61" s="18" t="str">
        <f aca="false">IF(G61="N/A - Maintain","",Cover!$B$6+INDEX('Reference Data'!$G$2:$G$5,MATCH(G61,'Reference Data'!$F$2:$F$5,0)))</f>
        <v/>
      </c>
      <c r="I61" s="17" t="s">
        <v>175</v>
      </c>
      <c r="J61" s="19" t="n">
        <f aca="false">INDEX('Reference Data'!$D$2:$D$6,MATCH(D61,'Reference Data'!$C$2:$C$6,0))</f>
        <v>4</v>
      </c>
    </row>
    <row r="62" customFormat="false" ht="23.85" hidden="false" customHeight="false" outlineLevel="0" collapsed="false">
      <c r="A62" s="17" t="s">
        <v>206</v>
      </c>
      <c r="B62" s="17" t="s">
        <v>207</v>
      </c>
      <c r="C62" s="17" t="s">
        <v>48</v>
      </c>
      <c r="D62" s="17" t="s">
        <v>44</v>
      </c>
      <c r="E62" s="17" t="s">
        <v>208</v>
      </c>
      <c r="F62" s="17"/>
      <c r="G62" s="17" t="s">
        <v>29</v>
      </c>
      <c r="H62" s="18" t="str">
        <f aca="false">IF(G62="N/A - Maintain","",Cover!$B$6+INDEX('Reference Data'!$G$2:$G$5,MATCH(G62,'Reference Data'!$F$2:$F$5,0)))</f>
        <v/>
      </c>
      <c r="I62" s="17" t="s">
        <v>209</v>
      </c>
      <c r="J62" s="19" t="n">
        <f aca="false">INDEX('Reference Data'!$D$2:$D$6,MATCH(D62,'Reference Data'!$C$2:$C$6,0))</f>
        <v>4</v>
      </c>
    </row>
    <row r="63" customFormat="false" ht="23.85" hidden="false" customHeight="false" outlineLevel="0" collapsed="false">
      <c r="A63" s="17" t="s">
        <v>210</v>
      </c>
      <c r="B63" s="17" t="s">
        <v>211</v>
      </c>
      <c r="C63" s="17" t="s">
        <v>48</v>
      </c>
      <c r="D63" s="17" t="s">
        <v>44</v>
      </c>
      <c r="E63" s="17" t="s">
        <v>212</v>
      </c>
      <c r="F63" s="17"/>
      <c r="G63" s="17" t="s">
        <v>29</v>
      </c>
      <c r="H63" s="18" t="str">
        <f aca="false">IF(G63="N/A - Maintain","",Cover!$B$6+INDEX('Reference Data'!$G$2:$G$5,MATCH(G63,'Reference Data'!$F$2:$F$5,0)))</f>
        <v/>
      </c>
      <c r="I63" s="17" t="s">
        <v>209</v>
      </c>
      <c r="J63" s="19" t="n">
        <f aca="false">INDEX('Reference Data'!$D$2:$D$6,MATCH(D63,'Reference Data'!$C$2:$C$6,0))</f>
        <v>4</v>
      </c>
    </row>
    <row r="64" customFormat="false" ht="23.85" hidden="false" customHeight="false" outlineLevel="0" collapsed="false">
      <c r="A64" s="17" t="s">
        <v>213</v>
      </c>
      <c r="B64" s="17" t="s">
        <v>214</v>
      </c>
      <c r="C64" s="17" t="s">
        <v>48</v>
      </c>
      <c r="D64" s="17" t="s">
        <v>44</v>
      </c>
      <c r="E64" s="17" t="s">
        <v>215</v>
      </c>
      <c r="F64" s="17"/>
      <c r="G64" s="17" t="s">
        <v>29</v>
      </c>
      <c r="H64" s="18" t="str">
        <f aca="false">IF(G64="N/A - Maintain","",Cover!$B$6+INDEX('Reference Data'!$G$2:$G$5,MATCH(G64,'Reference Data'!$F$2:$F$5,0)))</f>
        <v/>
      </c>
      <c r="I64" s="17" t="s">
        <v>209</v>
      </c>
      <c r="J64" s="19" t="n">
        <f aca="false">INDEX('Reference Data'!$D$2:$D$6,MATCH(D64,'Reference Data'!$C$2:$C$6,0))</f>
        <v>4</v>
      </c>
    </row>
    <row r="65" customFormat="false" ht="23.85" hidden="false" customHeight="false" outlineLevel="0" collapsed="false">
      <c r="A65" s="17" t="s">
        <v>216</v>
      </c>
      <c r="B65" s="17" t="s">
        <v>217</v>
      </c>
      <c r="C65" s="17" t="s">
        <v>48</v>
      </c>
      <c r="D65" s="17" t="s">
        <v>44</v>
      </c>
      <c r="E65" s="17" t="s">
        <v>208</v>
      </c>
      <c r="F65" s="17"/>
      <c r="G65" s="17" t="s">
        <v>29</v>
      </c>
      <c r="H65" s="18" t="str">
        <f aca="false">IF(G65="N/A - Maintain","",Cover!$B$6+INDEX('Reference Data'!$G$2:$G$5,MATCH(G65,'Reference Data'!$F$2:$F$5,0)))</f>
        <v/>
      </c>
      <c r="I65" s="17" t="s">
        <v>218</v>
      </c>
      <c r="J65" s="19" t="n">
        <f aca="false">INDEX('Reference Data'!$D$2:$D$6,MATCH(D65,'Reference Data'!$C$2:$C$6,0))</f>
        <v>4</v>
      </c>
    </row>
    <row r="66" customFormat="false" ht="23.85" hidden="false" customHeight="false" outlineLevel="0" collapsed="false">
      <c r="A66" s="17" t="s">
        <v>219</v>
      </c>
      <c r="B66" s="17" t="s">
        <v>220</v>
      </c>
      <c r="C66" s="17" t="s">
        <v>48</v>
      </c>
      <c r="D66" s="17" t="s">
        <v>43</v>
      </c>
      <c r="E66" s="17" t="s">
        <v>212</v>
      </c>
      <c r="F66" s="17" t="s">
        <v>76</v>
      </c>
      <c r="G66" s="17" t="s">
        <v>27</v>
      </c>
      <c r="H66" s="18" t="n">
        <f aca="false">IF(G66="N/A - Maintain","",Cover!$B$6+INDEX('Reference Data'!$G$2:$G$5,MATCH(G66,'Reference Data'!$F$2:$F$5,0)))</f>
        <v>46446</v>
      </c>
      <c r="I66" s="17" t="s">
        <v>209</v>
      </c>
      <c r="J66" s="19" t="n">
        <f aca="false">INDEX('Reference Data'!$D$2:$D$6,MATCH(D66,'Reference Data'!$C$2:$C$6,0))</f>
        <v>3</v>
      </c>
    </row>
    <row r="67" customFormat="false" ht="23.85" hidden="false" customHeight="false" outlineLevel="0" collapsed="false">
      <c r="A67" s="17" t="s">
        <v>221</v>
      </c>
      <c r="B67" s="17" t="s">
        <v>222</v>
      </c>
      <c r="C67" s="17" t="s">
        <v>48</v>
      </c>
      <c r="D67" s="17" t="s">
        <v>44</v>
      </c>
      <c r="E67" s="17" t="s">
        <v>215</v>
      </c>
      <c r="F67" s="17"/>
      <c r="G67" s="17" t="s">
        <v>29</v>
      </c>
      <c r="H67" s="18" t="str">
        <f aca="false">IF(G67="N/A - Maintain","",Cover!$B$6+INDEX('Reference Data'!$G$2:$G$5,MATCH(G67,'Reference Data'!$F$2:$F$5,0)))</f>
        <v/>
      </c>
      <c r="I67" s="17" t="s">
        <v>209</v>
      </c>
      <c r="J67" s="19" t="n">
        <f aca="false">INDEX('Reference Data'!$D$2:$D$6,MATCH(D67,'Reference Data'!$C$2:$C$6,0))</f>
        <v>4</v>
      </c>
    </row>
    <row r="68" customFormat="false" ht="23.85" hidden="false" customHeight="false" outlineLevel="0" collapsed="false">
      <c r="A68" s="17" t="s">
        <v>223</v>
      </c>
      <c r="B68" s="17" t="s">
        <v>224</v>
      </c>
      <c r="C68" s="17" t="s">
        <v>48</v>
      </c>
      <c r="D68" s="17" t="s">
        <v>44</v>
      </c>
      <c r="E68" s="17" t="s">
        <v>208</v>
      </c>
      <c r="F68" s="17"/>
      <c r="G68" s="17" t="s">
        <v>29</v>
      </c>
      <c r="H68" s="18" t="str">
        <f aca="false">IF(G68="N/A - Maintain","",Cover!$B$6+INDEX('Reference Data'!$G$2:$G$5,MATCH(G68,'Reference Data'!$F$2:$F$5,0)))</f>
        <v/>
      </c>
      <c r="I68" s="17" t="s">
        <v>209</v>
      </c>
      <c r="J68" s="19" t="n">
        <f aca="false">INDEX('Reference Data'!$D$2:$D$6,MATCH(D68,'Reference Data'!$C$2:$C$6,0))</f>
        <v>4</v>
      </c>
    </row>
    <row r="69" customFormat="false" ht="23.85" hidden="false" customHeight="false" outlineLevel="0" collapsed="false">
      <c r="A69" s="17" t="s">
        <v>225</v>
      </c>
      <c r="B69" s="17" t="s">
        <v>226</v>
      </c>
      <c r="C69" s="17" t="s">
        <v>48</v>
      </c>
      <c r="D69" s="17" t="s">
        <v>42</v>
      </c>
      <c r="E69" s="17"/>
      <c r="F69" s="17" t="s">
        <v>227</v>
      </c>
      <c r="G69" s="17" t="s">
        <v>25</v>
      </c>
      <c r="H69" s="18" t="n">
        <f aca="false">IF(G69="N/A - Maintain","",Cover!$B$6+INDEX('Reference Data'!$G$2:$G$5,MATCH(G69,'Reference Data'!$F$2:$F$5,0)))</f>
        <v>46386</v>
      </c>
      <c r="I69" s="17" t="s">
        <v>209</v>
      </c>
      <c r="J69" s="19" t="n">
        <f aca="false">INDEX('Reference Data'!$D$2:$D$6,MATCH(D69,'Reference Data'!$C$2:$C$6,0))</f>
        <v>2</v>
      </c>
    </row>
    <row r="70" customFormat="false" ht="23.85" hidden="false" customHeight="false" outlineLevel="0" collapsed="false">
      <c r="A70" s="17" t="s">
        <v>228</v>
      </c>
      <c r="B70" s="17" t="s">
        <v>229</v>
      </c>
      <c r="C70" s="17" t="s">
        <v>48</v>
      </c>
      <c r="D70" s="17" t="s">
        <v>40</v>
      </c>
      <c r="E70" s="17"/>
      <c r="F70" s="17" t="s">
        <v>230</v>
      </c>
      <c r="G70" s="17" t="s">
        <v>23</v>
      </c>
      <c r="H70" s="18" t="n">
        <f aca="false">IF(G70="N/A - Maintain","",Cover!$B$6+INDEX('Reference Data'!$G$2:$G$5,MATCH(G70,'Reference Data'!$F$2:$F$5,0)))</f>
        <v>46326</v>
      </c>
      <c r="I70" s="17" t="s">
        <v>209</v>
      </c>
      <c r="J70" s="19" t="n">
        <f aca="false">INDEX('Reference Data'!$D$2:$D$6,MATCH(D70,'Reference Data'!$C$2:$C$6,0))</f>
        <v>0</v>
      </c>
    </row>
    <row r="71" customFormat="false" ht="23.85" hidden="false" customHeight="false" outlineLevel="0" collapsed="false">
      <c r="A71" s="17" t="s">
        <v>231</v>
      </c>
      <c r="B71" s="17" t="s">
        <v>232</v>
      </c>
      <c r="C71" s="17" t="s">
        <v>48</v>
      </c>
      <c r="D71" s="17" t="s">
        <v>42</v>
      </c>
      <c r="E71" s="17"/>
      <c r="F71" s="17" t="s">
        <v>233</v>
      </c>
      <c r="G71" s="17" t="s">
        <v>25</v>
      </c>
      <c r="H71" s="18" t="n">
        <f aca="false">IF(G71="N/A - Maintain","",Cover!$B$6+INDEX('Reference Data'!$G$2:$G$5,MATCH(G71,'Reference Data'!$F$2:$F$5,0)))</f>
        <v>46386</v>
      </c>
      <c r="I71" s="17" t="s">
        <v>209</v>
      </c>
      <c r="J71" s="19" t="n">
        <f aca="false">INDEX('Reference Data'!$D$2:$D$6,MATCH(D71,'Reference Data'!$C$2:$C$6,0))</f>
        <v>2</v>
      </c>
    </row>
    <row r="72" customFormat="false" ht="23.85" hidden="false" customHeight="false" outlineLevel="0" collapsed="false">
      <c r="A72" s="17" t="s">
        <v>234</v>
      </c>
      <c r="B72" s="17" t="s">
        <v>235</v>
      </c>
      <c r="C72" s="17" t="s">
        <v>48</v>
      </c>
      <c r="D72" s="17" t="s">
        <v>40</v>
      </c>
      <c r="E72" s="17"/>
      <c r="F72" s="17" t="s">
        <v>236</v>
      </c>
      <c r="G72" s="17" t="s">
        <v>23</v>
      </c>
      <c r="H72" s="18" t="n">
        <f aca="false">IF(G72="N/A - Maintain","",Cover!$B$6+INDEX('Reference Data'!$G$2:$G$5,MATCH(G72,'Reference Data'!$F$2:$F$5,0)))</f>
        <v>46326</v>
      </c>
      <c r="I72" s="17" t="s">
        <v>209</v>
      </c>
      <c r="J72" s="19" t="n">
        <f aca="false">INDEX('Reference Data'!$D$2:$D$6,MATCH(D72,'Reference Data'!$C$2:$C$6,0))</f>
        <v>0</v>
      </c>
    </row>
    <row r="73" customFormat="false" ht="23.85" hidden="false" customHeight="false" outlineLevel="0" collapsed="false">
      <c r="A73" s="17" t="s">
        <v>237</v>
      </c>
      <c r="B73" s="17" t="s">
        <v>238</v>
      </c>
      <c r="C73" s="17" t="s">
        <v>48</v>
      </c>
      <c r="D73" s="17" t="s">
        <v>40</v>
      </c>
      <c r="E73" s="17"/>
      <c r="F73" s="17" t="s">
        <v>239</v>
      </c>
      <c r="G73" s="17" t="s">
        <v>23</v>
      </c>
      <c r="H73" s="18" t="n">
        <f aca="false">IF(G73="N/A - Maintain","",Cover!$B$6+INDEX('Reference Data'!$G$2:$G$5,MATCH(G73,'Reference Data'!$F$2:$F$5,0)))</f>
        <v>46326</v>
      </c>
      <c r="I73" s="17" t="s">
        <v>209</v>
      </c>
      <c r="J73" s="19" t="n">
        <f aca="false">INDEX('Reference Data'!$D$2:$D$6,MATCH(D73,'Reference Data'!$C$2:$C$6,0))</f>
        <v>0</v>
      </c>
    </row>
    <row r="74" customFormat="false" ht="23.85" hidden="false" customHeight="false" outlineLevel="0" collapsed="false">
      <c r="A74" s="17" t="s">
        <v>240</v>
      </c>
      <c r="B74" s="17" t="s">
        <v>241</v>
      </c>
      <c r="C74" s="17" t="s">
        <v>48</v>
      </c>
      <c r="D74" s="17" t="s">
        <v>44</v>
      </c>
      <c r="E74" s="17" t="s">
        <v>212</v>
      </c>
      <c r="F74" s="17"/>
      <c r="G74" s="17" t="s">
        <v>29</v>
      </c>
      <c r="H74" s="18" t="str">
        <f aca="false">IF(G74="N/A - Maintain","",Cover!$B$6+INDEX('Reference Data'!$G$2:$G$5,MATCH(G74,'Reference Data'!$F$2:$F$5,0)))</f>
        <v/>
      </c>
      <c r="I74" s="17" t="s">
        <v>209</v>
      </c>
      <c r="J74" s="19" t="n">
        <f aca="false">INDEX('Reference Data'!$D$2:$D$6,MATCH(D74,'Reference Data'!$C$2:$C$6,0))</f>
        <v>4</v>
      </c>
    </row>
    <row r="75" customFormat="false" ht="23.85" hidden="false" customHeight="false" outlineLevel="0" collapsed="false">
      <c r="A75" s="17" t="s">
        <v>242</v>
      </c>
      <c r="B75" s="17" t="s">
        <v>243</v>
      </c>
      <c r="C75" s="17" t="s">
        <v>48</v>
      </c>
      <c r="D75" s="17" t="s">
        <v>44</v>
      </c>
      <c r="E75" s="17" t="s">
        <v>215</v>
      </c>
      <c r="F75" s="17"/>
      <c r="G75" s="17" t="s">
        <v>29</v>
      </c>
      <c r="H75" s="18" t="str">
        <f aca="false">IF(G75="N/A - Maintain","",Cover!$B$6+INDEX('Reference Data'!$G$2:$G$5,MATCH(G75,'Reference Data'!$F$2:$F$5,0)))</f>
        <v/>
      </c>
      <c r="I75" s="17" t="s">
        <v>209</v>
      </c>
      <c r="J75" s="19" t="n">
        <f aca="false">INDEX('Reference Data'!$D$2:$D$6,MATCH(D75,'Reference Data'!$C$2:$C$6,0))</f>
        <v>4</v>
      </c>
    </row>
    <row r="76" customFormat="false" ht="23.85" hidden="false" customHeight="false" outlineLevel="0" collapsed="false">
      <c r="A76" s="17" t="s">
        <v>244</v>
      </c>
      <c r="B76" s="17" t="s">
        <v>245</v>
      </c>
      <c r="C76" s="17" t="s">
        <v>48</v>
      </c>
      <c r="D76" s="17" t="s">
        <v>43</v>
      </c>
      <c r="E76" s="17" t="s">
        <v>208</v>
      </c>
      <c r="F76" s="17" t="s">
        <v>76</v>
      </c>
      <c r="G76" s="17" t="s">
        <v>27</v>
      </c>
      <c r="H76" s="18" t="n">
        <f aca="false">IF(G76="N/A - Maintain","",Cover!$B$6+INDEX('Reference Data'!$G$2:$G$5,MATCH(G76,'Reference Data'!$F$2:$F$5,0)))</f>
        <v>46446</v>
      </c>
      <c r="I76" s="17" t="s">
        <v>209</v>
      </c>
      <c r="J76" s="19" t="n">
        <f aca="false">INDEX('Reference Data'!$D$2:$D$6,MATCH(D76,'Reference Data'!$C$2:$C$6,0))</f>
        <v>3</v>
      </c>
    </row>
    <row r="77" customFormat="false" ht="23.85" hidden="false" customHeight="false" outlineLevel="0" collapsed="false">
      <c r="A77" s="17" t="s">
        <v>246</v>
      </c>
      <c r="B77" s="17" t="s">
        <v>247</v>
      </c>
      <c r="C77" s="17" t="s">
        <v>48</v>
      </c>
      <c r="D77" s="17" t="s">
        <v>40</v>
      </c>
      <c r="E77" s="17"/>
      <c r="F77" s="17" t="s">
        <v>248</v>
      </c>
      <c r="G77" s="17" t="s">
        <v>23</v>
      </c>
      <c r="H77" s="18" t="n">
        <f aca="false">IF(G77="N/A - Maintain","",Cover!$B$6+INDEX('Reference Data'!$G$2:$G$5,MATCH(G77,'Reference Data'!$F$2:$F$5,0)))</f>
        <v>46326</v>
      </c>
      <c r="I77" s="17" t="s">
        <v>209</v>
      </c>
      <c r="J77" s="19" t="n">
        <f aca="false">INDEX('Reference Data'!$D$2:$D$6,MATCH(D77,'Reference Data'!$C$2:$C$6,0))</f>
        <v>0</v>
      </c>
    </row>
    <row r="78" customFormat="false" ht="23.85" hidden="false" customHeight="false" outlineLevel="0" collapsed="false">
      <c r="A78" s="17" t="s">
        <v>249</v>
      </c>
      <c r="B78" s="17" t="s">
        <v>250</v>
      </c>
      <c r="C78" s="17" t="s">
        <v>48</v>
      </c>
      <c r="D78" s="17" t="s">
        <v>44</v>
      </c>
      <c r="E78" s="17" t="s">
        <v>212</v>
      </c>
      <c r="F78" s="17"/>
      <c r="G78" s="17" t="s">
        <v>29</v>
      </c>
      <c r="H78" s="18" t="str">
        <f aca="false">IF(G78="N/A - Maintain","",Cover!$B$6+INDEX('Reference Data'!$G$2:$G$5,MATCH(G78,'Reference Data'!$F$2:$F$5,0)))</f>
        <v/>
      </c>
      <c r="I78" s="17" t="s">
        <v>209</v>
      </c>
      <c r="J78" s="19" t="n">
        <f aca="false">INDEX('Reference Data'!$D$2:$D$6,MATCH(D78,'Reference Data'!$C$2:$C$6,0))</f>
        <v>4</v>
      </c>
    </row>
    <row r="79" customFormat="false" ht="23.85" hidden="false" customHeight="false" outlineLevel="0" collapsed="false">
      <c r="A79" s="17" t="s">
        <v>251</v>
      </c>
      <c r="B79" s="17" t="s">
        <v>252</v>
      </c>
      <c r="C79" s="17" t="s">
        <v>48</v>
      </c>
      <c r="D79" s="17" t="s">
        <v>44</v>
      </c>
      <c r="E79" s="17" t="s">
        <v>215</v>
      </c>
      <c r="F79" s="17"/>
      <c r="G79" s="17" t="s">
        <v>29</v>
      </c>
      <c r="H79" s="18" t="str">
        <f aca="false">IF(G79="N/A - Maintain","",Cover!$B$6+INDEX('Reference Data'!$G$2:$G$5,MATCH(G79,'Reference Data'!$F$2:$F$5,0)))</f>
        <v/>
      </c>
      <c r="I79" s="17" t="s">
        <v>209</v>
      </c>
      <c r="J79" s="19" t="n">
        <f aca="false">INDEX('Reference Data'!$D$2:$D$6,MATCH(D79,'Reference Data'!$C$2:$C$6,0))</f>
        <v>4</v>
      </c>
    </row>
    <row r="80" customFormat="false" ht="23.85" hidden="false" customHeight="false" outlineLevel="0" collapsed="false">
      <c r="A80" s="17" t="s">
        <v>253</v>
      </c>
      <c r="B80" s="17" t="s">
        <v>254</v>
      </c>
      <c r="C80" s="17" t="s">
        <v>48</v>
      </c>
      <c r="D80" s="17" t="s">
        <v>44</v>
      </c>
      <c r="E80" s="17" t="s">
        <v>208</v>
      </c>
      <c r="F80" s="17"/>
      <c r="G80" s="17" t="s">
        <v>29</v>
      </c>
      <c r="H80" s="18" t="str">
        <f aca="false">IF(G80="N/A - Maintain","",Cover!$B$6+INDEX('Reference Data'!$G$2:$G$5,MATCH(G80,'Reference Data'!$F$2:$F$5,0)))</f>
        <v/>
      </c>
      <c r="I80" s="17" t="s">
        <v>209</v>
      </c>
      <c r="J80" s="19" t="n">
        <f aca="false">INDEX('Reference Data'!$D$2:$D$6,MATCH(D80,'Reference Data'!$C$2:$C$6,0))</f>
        <v>4</v>
      </c>
    </row>
    <row r="81" customFormat="false" ht="23.85" hidden="false" customHeight="false" outlineLevel="0" collapsed="false">
      <c r="A81" s="17" t="s">
        <v>255</v>
      </c>
      <c r="B81" s="17" t="s">
        <v>256</v>
      </c>
      <c r="C81" s="17" t="s">
        <v>48</v>
      </c>
      <c r="D81" s="17" t="s">
        <v>44</v>
      </c>
      <c r="E81" s="17" t="s">
        <v>212</v>
      </c>
      <c r="F81" s="17"/>
      <c r="G81" s="17" t="s">
        <v>29</v>
      </c>
      <c r="H81" s="18" t="str">
        <f aca="false">IF(G81="N/A - Maintain","",Cover!$B$6+INDEX('Reference Data'!$G$2:$G$5,MATCH(G81,'Reference Data'!$F$2:$F$5,0)))</f>
        <v/>
      </c>
      <c r="I81" s="17" t="s">
        <v>209</v>
      </c>
      <c r="J81" s="19" t="n">
        <f aca="false">INDEX('Reference Data'!$D$2:$D$6,MATCH(D81,'Reference Data'!$C$2:$C$6,0))</f>
        <v>4</v>
      </c>
    </row>
    <row r="82" customFormat="false" ht="23.85" hidden="false" customHeight="false" outlineLevel="0" collapsed="false">
      <c r="A82" s="17" t="s">
        <v>257</v>
      </c>
      <c r="B82" s="17" t="s">
        <v>258</v>
      </c>
      <c r="C82" s="17" t="s">
        <v>48</v>
      </c>
      <c r="D82" s="17" t="s">
        <v>43</v>
      </c>
      <c r="E82" s="17" t="s">
        <v>215</v>
      </c>
      <c r="F82" s="17" t="s">
        <v>76</v>
      </c>
      <c r="G82" s="17" t="s">
        <v>27</v>
      </c>
      <c r="H82" s="18" t="n">
        <f aca="false">IF(G82="N/A - Maintain","",Cover!$B$6+INDEX('Reference Data'!$G$2:$G$5,MATCH(G82,'Reference Data'!$F$2:$F$5,0)))</f>
        <v>46446</v>
      </c>
      <c r="I82" s="17" t="s">
        <v>209</v>
      </c>
      <c r="J82" s="19" t="n">
        <f aca="false">INDEX('Reference Data'!$D$2:$D$6,MATCH(D82,'Reference Data'!$C$2:$C$6,0))</f>
        <v>3</v>
      </c>
    </row>
    <row r="83" customFormat="false" ht="23.85" hidden="false" customHeight="false" outlineLevel="0" collapsed="false">
      <c r="A83" s="17" t="s">
        <v>259</v>
      </c>
      <c r="B83" s="17" t="s">
        <v>260</v>
      </c>
      <c r="C83" s="17" t="s">
        <v>48</v>
      </c>
      <c r="D83" s="17" t="s">
        <v>44</v>
      </c>
      <c r="E83" s="17" t="s">
        <v>208</v>
      </c>
      <c r="F83" s="17"/>
      <c r="G83" s="17" t="s">
        <v>29</v>
      </c>
      <c r="H83" s="18" t="str">
        <f aca="false">IF(G83="N/A - Maintain","",Cover!$B$6+INDEX('Reference Data'!$G$2:$G$5,MATCH(G83,'Reference Data'!$F$2:$F$5,0)))</f>
        <v/>
      </c>
      <c r="I83" s="17" t="s">
        <v>209</v>
      </c>
      <c r="J83" s="19" t="n">
        <f aca="false">INDEX('Reference Data'!$D$2:$D$6,MATCH(D83,'Reference Data'!$C$2:$C$6,0))</f>
        <v>4</v>
      </c>
    </row>
    <row r="84" customFormat="false" ht="23.85" hidden="false" customHeight="false" outlineLevel="0" collapsed="false">
      <c r="A84" s="17" t="s">
        <v>261</v>
      </c>
      <c r="B84" s="17" t="s">
        <v>262</v>
      </c>
      <c r="C84" s="17" t="s">
        <v>48</v>
      </c>
      <c r="D84" s="17" t="s">
        <v>42</v>
      </c>
      <c r="E84" s="17"/>
      <c r="F84" s="17" t="s">
        <v>263</v>
      </c>
      <c r="G84" s="17" t="s">
        <v>25</v>
      </c>
      <c r="H84" s="18" t="n">
        <f aca="false">IF(G84="N/A - Maintain","",Cover!$B$6+INDEX('Reference Data'!$G$2:$G$5,MATCH(G84,'Reference Data'!$F$2:$F$5,0)))</f>
        <v>46386</v>
      </c>
      <c r="I84" s="17" t="s">
        <v>209</v>
      </c>
      <c r="J84" s="19" t="n">
        <f aca="false">INDEX('Reference Data'!$D$2:$D$6,MATCH(D84,'Reference Data'!$C$2:$C$6,0))</f>
        <v>2</v>
      </c>
    </row>
    <row r="85" customFormat="false" ht="23.85" hidden="false" customHeight="false" outlineLevel="0" collapsed="false">
      <c r="A85" s="17" t="s">
        <v>264</v>
      </c>
      <c r="B85" s="17" t="s">
        <v>265</v>
      </c>
      <c r="C85" s="17" t="s">
        <v>48</v>
      </c>
      <c r="D85" s="17" t="s">
        <v>44</v>
      </c>
      <c r="E85" s="17" t="s">
        <v>212</v>
      </c>
      <c r="F85" s="17"/>
      <c r="G85" s="17" t="s">
        <v>29</v>
      </c>
      <c r="H85" s="18" t="str">
        <f aca="false">IF(G85="N/A - Maintain","",Cover!$B$6+INDEX('Reference Data'!$G$2:$G$5,MATCH(G85,'Reference Data'!$F$2:$F$5,0)))</f>
        <v/>
      </c>
      <c r="I85" s="17" t="s">
        <v>209</v>
      </c>
      <c r="J85" s="19" t="n">
        <f aca="false">INDEX('Reference Data'!$D$2:$D$6,MATCH(D85,'Reference Data'!$C$2:$C$6,0))</f>
        <v>4</v>
      </c>
    </row>
    <row r="86" customFormat="false" ht="23.85" hidden="false" customHeight="false" outlineLevel="0" collapsed="false">
      <c r="A86" s="17" t="s">
        <v>266</v>
      </c>
      <c r="B86" s="17" t="s">
        <v>267</v>
      </c>
      <c r="C86" s="17" t="s">
        <v>48</v>
      </c>
      <c r="D86" s="17" t="s">
        <v>44</v>
      </c>
      <c r="E86" s="17" t="s">
        <v>215</v>
      </c>
      <c r="F86" s="17"/>
      <c r="G86" s="17" t="s">
        <v>29</v>
      </c>
      <c r="H86" s="18" t="str">
        <f aca="false">IF(G86="N/A - Maintain","",Cover!$B$6+INDEX('Reference Data'!$G$2:$G$5,MATCH(G86,'Reference Data'!$F$2:$F$5,0)))</f>
        <v/>
      </c>
      <c r="I86" s="17" t="s">
        <v>218</v>
      </c>
      <c r="J86" s="19" t="n">
        <f aca="false">INDEX('Reference Data'!$D$2:$D$6,MATCH(D86,'Reference Data'!$C$2:$C$6,0))</f>
        <v>4</v>
      </c>
    </row>
    <row r="87" customFormat="false" ht="23.85" hidden="false" customHeight="false" outlineLevel="0" collapsed="false">
      <c r="A87" s="17" t="s">
        <v>268</v>
      </c>
      <c r="B87" s="17" t="s">
        <v>269</v>
      </c>
      <c r="C87" s="17" t="s">
        <v>48</v>
      </c>
      <c r="D87" s="17" t="s">
        <v>44</v>
      </c>
      <c r="E87" s="17" t="s">
        <v>208</v>
      </c>
      <c r="F87" s="17"/>
      <c r="G87" s="17" t="s">
        <v>29</v>
      </c>
      <c r="H87" s="18" t="str">
        <f aca="false">IF(G87="N/A - Maintain","",Cover!$B$6+INDEX('Reference Data'!$G$2:$G$5,MATCH(G87,'Reference Data'!$F$2:$F$5,0)))</f>
        <v/>
      </c>
      <c r="I87" s="17" t="s">
        <v>218</v>
      </c>
      <c r="J87" s="19" t="n">
        <f aca="false">INDEX('Reference Data'!$D$2:$D$6,MATCH(D87,'Reference Data'!$C$2:$C$6,0))</f>
        <v>4</v>
      </c>
    </row>
    <row r="88" customFormat="false" ht="23.85" hidden="false" customHeight="false" outlineLevel="0" collapsed="false">
      <c r="A88" s="17" t="s">
        <v>270</v>
      </c>
      <c r="B88" s="17" t="s">
        <v>271</v>
      </c>
      <c r="C88" s="17" t="s">
        <v>48</v>
      </c>
      <c r="D88" s="17" t="s">
        <v>43</v>
      </c>
      <c r="E88" s="17" t="s">
        <v>212</v>
      </c>
      <c r="F88" s="17" t="s">
        <v>76</v>
      </c>
      <c r="G88" s="17" t="s">
        <v>27</v>
      </c>
      <c r="H88" s="18" t="n">
        <f aca="false">IF(G88="N/A - Maintain","",Cover!$B$6+INDEX('Reference Data'!$G$2:$G$5,MATCH(G88,'Reference Data'!$F$2:$F$5,0)))</f>
        <v>46446</v>
      </c>
      <c r="I88" s="17" t="s">
        <v>218</v>
      </c>
      <c r="J88" s="19" t="n">
        <f aca="false">INDEX('Reference Data'!$D$2:$D$6,MATCH(D88,'Reference Data'!$C$2:$C$6,0))</f>
        <v>3</v>
      </c>
    </row>
    <row r="89" customFormat="false" ht="23.85" hidden="false" customHeight="false" outlineLevel="0" collapsed="false">
      <c r="A89" s="17" t="s">
        <v>272</v>
      </c>
      <c r="B89" s="17" t="s">
        <v>273</v>
      </c>
      <c r="C89" s="17" t="s">
        <v>48</v>
      </c>
      <c r="D89" s="17" t="s">
        <v>42</v>
      </c>
      <c r="E89" s="17"/>
      <c r="F89" s="17" t="s">
        <v>274</v>
      </c>
      <c r="G89" s="17" t="s">
        <v>25</v>
      </c>
      <c r="H89" s="18" t="n">
        <f aca="false">IF(G89="N/A - Maintain","",Cover!$B$6+INDEX('Reference Data'!$G$2:$G$5,MATCH(G89,'Reference Data'!$F$2:$F$5,0)))</f>
        <v>46386</v>
      </c>
      <c r="I89" s="17" t="s">
        <v>218</v>
      </c>
      <c r="J89" s="19" t="n">
        <f aca="false">INDEX('Reference Data'!$D$2:$D$6,MATCH(D89,'Reference Data'!$C$2:$C$6,0))</f>
        <v>2</v>
      </c>
    </row>
    <row r="90" customFormat="false" ht="23.85" hidden="false" customHeight="false" outlineLevel="0" collapsed="false">
      <c r="A90" s="17" t="s">
        <v>275</v>
      </c>
      <c r="B90" s="17" t="s">
        <v>276</v>
      </c>
      <c r="C90" s="17" t="s">
        <v>48</v>
      </c>
      <c r="D90" s="17" t="s">
        <v>44</v>
      </c>
      <c r="E90" s="17" t="s">
        <v>215</v>
      </c>
      <c r="F90" s="17"/>
      <c r="G90" s="17" t="s">
        <v>29</v>
      </c>
      <c r="H90" s="18" t="str">
        <f aca="false">IF(G90="N/A - Maintain","",Cover!$B$6+INDEX('Reference Data'!$G$2:$G$5,MATCH(G90,'Reference Data'!$F$2:$F$5,0)))</f>
        <v/>
      </c>
      <c r="I90" s="17" t="s">
        <v>218</v>
      </c>
      <c r="J90" s="19" t="n">
        <f aca="false">INDEX('Reference Data'!$D$2:$D$6,MATCH(D90,'Reference Data'!$C$2:$C$6,0))</f>
        <v>4</v>
      </c>
    </row>
    <row r="91" customFormat="false" ht="23.85" hidden="false" customHeight="false" outlineLevel="0" collapsed="false">
      <c r="A91" s="17" t="s">
        <v>277</v>
      </c>
      <c r="B91" s="17" t="s">
        <v>278</v>
      </c>
      <c r="C91" s="17" t="s">
        <v>48</v>
      </c>
      <c r="D91" s="17" t="s">
        <v>44</v>
      </c>
      <c r="E91" s="17" t="s">
        <v>208</v>
      </c>
      <c r="F91" s="17"/>
      <c r="G91" s="17" t="s">
        <v>29</v>
      </c>
      <c r="H91" s="18" t="str">
        <f aca="false">IF(G91="N/A - Maintain","",Cover!$B$6+INDEX('Reference Data'!$G$2:$G$5,MATCH(G91,'Reference Data'!$F$2:$F$5,0)))</f>
        <v/>
      </c>
      <c r="I91" s="17" t="s">
        <v>218</v>
      </c>
      <c r="J91" s="19" t="n">
        <f aca="false">INDEX('Reference Data'!$D$2:$D$6,MATCH(D91,'Reference Data'!$C$2:$C$6,0))</f>
        <v>4</v>
      </c>
    </row>
    <row r="92" customFormat="false" ht="23.85" hidden="false" customHeight="false" outlineLevel="0" collapsed="false">
      <c r="A92" s="17" t="s">
        <v>279</v>
      </c>
      <c r="B92" s="17" t="s">
        <v>280</v>
      </c>
      <c r="C92" s="17" t="s">
        <v>48</v>
      </c>
      <c r="D92" s="17" t="s">
        <v>44</v>
      </c>
      <c r="E92" s="17" t="s">
        <v>212</v>
      </c>
      <c r="F92" s="17"/>
      <c r="G92" s="17" t="s">
        <v>29</v>
      </c>
      <c r="H92" s="18" t="str">
        <f aca="false">IF(G92="N/A - Maintain","",Cover!$B$6+INDEX('Reference Data'!$G$2:$G$5,MATCH(G92,'Reference Data'!$F$2:$F$5,0)))</f>
        <v/>
      </c>
      <c r="I92" s="17" t="s">
        <v>218</v>
      </c>
      <c r="J92" s="19" t="n">
        <f aca="false">INDEX('Reference Data'!$D$2:$D$6,MATCH(D92,'Reference Data'!$C$2:$C$6,0))</f>
        <v>4</v>
      </c>
    </row>
    <row r="93" customFormat="false" ht="23.85" hidden="false" customHeight="false" outlineLevel="0" collapsed="false">
      <c r="A93" s="17" t="s">
        <v>281</v>
      </c>
      <c r="B93" s="17" t="s">
        <v>282</v>
      </c>
      <c r="C93" s="17" t="s">
        <v>48</v>
      </c>
      <c r="D93" s="17" t="s">
        <v>44</v>
      </c>
      <c r="E93" s="17" t="s">
        <v>215</v>
      </c>
      <c r="F93" s="17"/>
      <c r="G93" s="17" t="s">
        <v>29</v>
      </c>
      <c r="H93" s="18" t="str">
        <f aca="false">IF(G93="N/A - Maintain","",Cover!$B$6+INDEX('Reference Data'!$G$2:$G$5,MATCH(G93,'Reference Data'!$F$2:$F$5,0)))</f>
        <v/>
      </c>
      <c r="I93" s="17" t="s">
        <v>218</v>
      </c>
      <c r="J93" s="19" t="n">
        <f aca="false">INDEX('Reference Data'!$D$2:$D$6,MATCH(D93,'Reference Data'!$C$2:$C$6,0))</f>
        <v>4</v>
      </c>
    </row>
    <row r="94" customFormat="false" ht="23.85" hidden="false" customHeight="false" outlineLevel="0" collapsed="false">
      <c r="A94" s="17" t="s">
        <v>283</v>
      </c>
      <c r="B94" s="17" t="s">
        <v>284</v>
      </c>
      <c r="C94" s="17" t="s">
        <v>48</v>
      </c>
      <c r="D94" s="17" t="s">
        <v>43</v>
      </c>
      <c r="E94" s="17" t="s">
        <v>208</v>
      </c>
      <c r="F94" s="17" t="s">
        <v>76</v>
      </c>
      <c r="G94" s="17" t="s">
        <v>27</v>
      </c>
      <c r="H94" s="18" t="n">
        <f aca="false">IF(G94="N/A - Maintain","",Cover!$B$6+INDEX('Reference Data'!$G$2:$G$5,MATCH(G94,'Reference Data'!$F$2:$F$5,0)))</f>
        <v>46446</v>
      </c>
      <c r="I94" s="17" t="s">
        <v>218</v>
      </c>
      <c r="J94" s="19" t="n">
        <f aca="false">INDEX('Reference Data'!$D$2:$D$6,MATCH(D94,'Reference Data'!$C$2:$C$6,0))</f>
        <v>3</v>
      </c>
    </row>
    <row r="95" customFormat="false" ht="23.85" hidden="false" customHeight="false" outlineLevel="0" collapsed="false">
      <c r="A95" s="17" t="s">
        <v>285</v>
      </c>
      <c r="B95" s="17" t="s">
        <v>286</v>
      </c>
      <c r="C95" s="17" t="s">
        <v>48</v>
      </c>
      <c r="D95" s="17" t="s">
        <v>44</v>
      </c>
      <c r="E95" s="17" t="s">
        <v>212</v>
      </c>
      <c r="F95" s="17"/>
      <c r="G95" s="17" t="s">
        <v>29</v>
      </c>
      <c r="H95" s="18" t="str">
        <f aca="false">IF(G95="N/A - Maintain","",Cover!$B$6+INDEX('Reference Data'!$G$2:$G$5,MATCH(G95,'Reference Data'!$F$2:$F$5,0)))</f>
        <v/>
      </c>
      <c r="I95" s="17" t="s">
        <v>218</v>
      </c>
      <c r="J95" s="19" t="n">
        <f aca="false">INDEX('Reference Data'!$D$2:$D$6,MATCH(D95,'Reference Data'!$C$2:$C$6,0))</f>
        <v>4</v>
      </c>
    </row>
  </sheetData>
  <mergeCells count="1">
    <mergeCell ref="A1:J1"/>
  </mergeCells>
  <conditionalFormatting sqref="D3:D95">
    <cfRule type="expression" priority="2" aboveAverage="0" equalAverage="0" bottom="0" percent="0" rank="0" text="" dxfId="0">
      <formula>$D3="Not Implemented"</formula>
    </cfRule>
    <cfRule type="expression" priority="3" aboveAverage="0" equalAverage="0" bottom="0" percent="0" rank="0" text="" dxfId="1">
      <formula>OR($D3="Ad Hoc",$D3="Partially Implemented")</formula>
    </cfRule>
    <cfRule type="expression" priority="4" aboveAverage="0" equalAverage="0" bottom="0" percent="0" rank="0" text="" dxfId="2">
      <formula>$D3="Implemented - Reviewed &amp; Effective"</formula>
    </cfRule>
  </conditionalFormatting>
  <conditionalFormatting sqref="G3:G95">
    <cfRule type="expression" priority="5" aboveAverage="0" equalAverage="0" bottom="0" percent="0" rank="0" text="" dxfId="0">
      <formula>$G3="High"</formula>
    </cfRule>
    <cfRule type="expression" priority="6" aboveAverage="0" equalAverage="0" bottom="0" percent="0" rank="0" text="" dxfId="1">
      <formula>$G3="Medium"</formula>
    </cfRule>
  </conditionalFormatting>
  <dataValidations count="2">
    <dataValidation allowBlank="false" errorStyle="stop" operator="between" showDropDown="false" showErrorMessage="false" showInputMessage="false" sqref="D3:D95" type="list">
      <formula1>"Not Implemented,Ad Hoc,Partially Implemented,Implemented - Not Reviewed,Implemented - Reviewed &amp; Effective"</formula1>
      <formula2>0</formula2>
    </dataValidation>
    <dataValidation allowBlank="false" errorStyle="stop" operator="between" showDropDown="false" showErrorMessage="false" showInputMessage="false" sqref="G3:G95" type="list">
      <formula1>"High,Medium,Low,N/A - Maintain"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0" t="s">
        <v>287</v>
      </c>
      <c r="B1" s="10"/>
      <c r="C1" s="10"/>
      <c r="D1" s="10"/>
      <c r="E1" s="10"/>
      <c r="F1" s="10"/>
      <c r="G1" s="10"/>
    </row>
    <row r="2" customFormat="false" ht="28.35" hidden="false" customHeight="false" outlineLevel="0" collapsed="false">
      <c r="A2" s="16" t="s">
        <v>53</v>
      </c>
      <c r="B2" s="16" t="s">
        <v>54</v>
      </c>
      <c r="C2" s="16" t="s">
        <v>57</v>
      </c>
      <c r="D2" s="16" t="s">
        <v>50</v>
      </c>
      <c r="E2" s="16" t="s">
        <v>59</v>
      </c>
      <c r="F2" s="16" t="s">
        <v>58</v>
      </c>
      <c r="G2" s="16" t="s">
        <v>288</v>
      </c>
    </row>
    <row r="3" customFormat="false" ht="23.85" hidden="false" customHeight="false" outlineLevel="0" collapsed="false">
      <c r="A3" s="17" t="str">
        <f aca="false">'Gap Assessment Matrix'!A23</f>
        <v>5.21</v>
      </c>
      <c r="B3" s="17" t="str">
        <f aca="false">'Gap Assessment Matrix'!B23</f>
        <v>Managing information security in the ICT supply chain</v>
      </c>
      <c r="C3" s="17" t="str">
        <f aca="false">'Gap Assessment Matrix'!F23</f>
        <v>ICT supply chain risk is not assessed separately from general supplier due diligence.</v>
      </c>
      <c r="D3" s="17" t="str">
        <f aca="false">'Gap Assessment Matrix'!G23</f>
        <v>High</v>
      </c>
      <c r="E3" s="17" t="str">
        <f aca="false">'Gap Assessment Matrix'!I23</f>
        <v>Vendor &amp; Procurement Manager</v>
      </c>
      <c r="F3" s="18" t="n">
        <f aca="false">'Gap Assessment Matrix'!H23</f>
        <v>46326</v>
      </c>
      <c r="G3" s="17" t="s">
        <v>289</v>
      </c>
    </row>
    <row r="4" customFormat="false" ht="23.85" hidden="false" customHeight="false" outlineLevel="0" collapsed="false">
      <c r="A4" s="17" t="str">
        <f aca="false">'Gap Assessment Matrix'!A30</f>
        <v>5.28</v>
      </c>
      <c r="B4" s="17" t="str">
        <f aca="false">'Gap Assessment Matrix'!B30</f>
        <v>Collection of evidence</v>
      </c>
      <c r="C4" s="17" t="str">
        <f aca="false">'Gap Assessment Matrix'!F30</f>
        <v>No documented procedure for collection and preservation of evidence following a security incident.</v>
      </c>
      <c r="D4" s="17" t="str">
        <f aca="false">'Gap Assessment Matrix'!G30</f>
        <v>High</v>
      </c>
      <c r="E4" s="17" t="str">
        <f aca="false">'Gap Assessment Matrix'!I30</f>
        <v>Security Operations Lead</v>
      </c>
      <c r="F4" s="18" t="n">
        <f aca="false">'Gap Assessment Matrix'!H30</f>
        <v>46326</v>
      </c>
      <c r="G4" s="17" t="s">
        <v>289</v>
      </c>
    </row>
    <row r="5" customFormat="false" ht="23.85" hidden="false" customHeight="false" outlineLevel="0" collapsed="false">
      <c r="A5" s="17" t="str">
        <f aca="false">'Gap Assessment Matrix'!A32</f>
        <v>5.30</v>
      </c>
      <c r="B5" s="17" t="str">
        <f aca="false">'Gap Assessment Matrix'!B32</f>
        <v>ICT readiness for business continuity</v>
      </c>
      <c r="C5" s="17" t="str">
        <f aca="false">'Gap Assessment Matrix'!F32</f>
        <v>ICT continuity plan not yet aligned to BIA-derived recovery time/point objectives.</v>
      </c>
      <c r="D5" s="17" t="str">
        <f aca="false">'Gap Assessment Matrix'!G32</f>
        <v>High</v>
      </c>
      <c r="E5" s="17" t="str">
        <f aca="false">'Gap Assessment Matrix'!I32</f>
        <v>Head of GRC</v>
      </c>
      <c r="F5" s="18" t="n">
        <f aca="false">'Gap Assessment Matrix'!H32</f>
        <v>46326</v>
      </c>
      <c r="G5" s="17" t="s">
        <v>289</v>
      </c>
    </row>
    <row r="6" customFormat="false" ht="23.85" hidden="false" customHeight="false" outlineLevel="0" collapsed="false">
      <c r="A6" s="17" t="str">
        <f aca="false">'Gap Assessment Matrix'!A9</f>
        <v>5.7</v>
      </c>
      <c r="B6" s="17" t="str">
        <f aca="false">'Gap Assessment Matrix'!B9</f>
        <v>Threat intelligence</v>
      </c>
      <c r="C6" s="17" t="str">
        <f aca="false">'Gap Assessment Matrix'!F9</f>
        <v>No formal threat intelligence process; ad hoc use of vendor security bulletins only.</v>
      </c>
      <c r="D6" s="17" t="str">
        <f aca="false">'Gap Assessment Matrix'!G9</f>
        <v>High</v>
      </c>
      <c r="E6" s="17" t="str">
        <f aca="false">'Gap Assessment Matrix'!I9</f>
        <v>Head of GRC</v>
      </c>
      <c r="F6" s="18" t="n">
        <f aca="false">'Gap Assessment Matrix'!H9</f>
        <v>46326</v>
      </c>
      <c r="G6" s="17" t="s">
        <v>289</v>
      </c>
    </row>
    <row r="7" customFormat="false" ht="23.85" hidden="false" customHeight="false" outlineLevel="0" collapsed="false">
      <c r="A7" s="17" t="str">
        <f aca="false">'Gap Assessment Matrix'!A72</f>
        <v>8.11</v>
      </c>
      <c r="B7" s="17" t="str">
        <f aca="false">'Gap Assessment Matrix'!B72</f>
        <v>Data masking</v>
      </c>
      <c r="C7" s="17" t="str">
        <f aca="false">'Gap Assessment Matrix'!F72</f>
        <v>No data masking applied to production data copied into test/staging environments.</v>
      </c>
      <c r="D7" s="17" t="str">
        <f aca="false">'Gap Assessment Matrix'!G72</f>
        <v>High</v>
      </c>
      <c r="E7" s="17" t="str">
        <f aca="false">'Gap Assessment Matrix'!I72</f>
        <v>IT Security Manager</v>
      </c>
      <c r="F7" s="18" t="n">
        <f aca="false">'Gap Assessment Matrix'!H72</f>
        <v>46326</v>
      </c>
      <c r="G7" s="17" t="s">
        <v>289</v>
      </c>
    </row>
    <row r="8" customFormat="false" ht="23.85" hidden="false" customHeight="false" outlineLevel="0" collapsed="false">
      <c r="A8" s="17" t="str">
        <f aca="false">'Gap Assessment Matrix'!A73</f>
        <v>8.12</v>
      </c>
      <c r="B8" s="17" t="str">
        <f aca="false">'Gap Assessment Matrix'!B73</f>
        <v>Data leakage prevention</v>
      </c>
      <c r="C8" s="17" t="str">
        <f aca="false">'Gap Assessment Matrix'!F73</f>
        <v>No data leakage prevention tooling in place; reliance on manual review and the acceptable use policy only.</v>
      </c>
      <c r="D8" s="17" t="str">
        <f aca="false">'Gap Assessment Matrix'!G73</f>
        <v>High</v>
      </c>
      <c r="E8" s="17" t="str">
        <f aca="false">'Gap Assessment Matrix'!I73</f>
        <v>IT Security Manager</v>
      </c>
      <c r="F8" s="18" t="n">
        <f aca="false">'Gap Assessment Matrix'!H73</f>
        <v>46326</v>
      </c>
      <c r="G8" s="17" t="s">
        <v>289</v>
      </c>
    </row>
    <row r="9" customFormat="false" ht="23.85" hidden="false" customHeight="false" outlineLevel="0" collapsed="false">
      <c r="A9" s="17" t="str">
        <f aca="false">'Gap Assessment Matrix'!A77</f>
        <v>8.16</v>
      </c>
      <c r="B9" s="17" t="str">
        <f aca="false">'Gap Assessment Matrix'!B77</f>
        <v>Monitoring activities</v>
      </c>
      <c r="C9" s="17" t="str">
        <f aca="false">'Gap Assessment Matrix'!F77</f>
        <v>No centralised security monitoring/SIEM capability; log review is manual and inconsistent.</v>
      </c>
      <c r="D9" s="17" t="str">
        <f aca="false">'Gap Assessment Matrix'!G77</f>
        <v>High</v>
      </c>
      <c r="E9" s="17" t="str">
        <f aca="false">'Gap Assessment Matrix'!I77</f>
        <v>IT Security Manager</v>
      </c>
      <c r="F9" s="18" t="n">
        <f aca="false">'Gap Assessment Matrix'!H77</f>
        <v>46326</v>
      </c>
      <c r="G9" s="17" t="s">
        <v>289</v>
      </c>
    </row>
    <row r="10" customFormat="false" ht="23.85" hidden="false" customHeight="false" outlineLevel="0" collapsed="false">
      <c r="A10" s="17" t="str">
        <f aca="false">'Gap Assessment Matrix'!A70</f>
        <v>8.9</v>
      </c>
      <c r="B10" s="17" t="str">
        <f aca="false">'Gap Assessment Matrix'!B70</f>
        <v>Configuration management</v>
      </c>
      <c r="C10" s="17" t="str">
        <f aca="false">'Gap Assessment Matrix'!F70</f>
        <v>No formal secure baseline configuration standard; configurations vary by engineer.</v>
      </c>
      <c r="D10" s="17" t="str">
        <f aca="false">'Gap Assessment Matrix'!G70</f>
        <v>High</v>
      </c>
      <c r="E10" s="17" t="str">
        <f aca="false">'Gap Assessment Matrix'!I70</f>
        <v>IT Security Manager</v>
      </c>
      <c r="F10" s="18" t="n">
        <f aca="false">'Gap Assessment Matrix'!H70</f>
        <v>46326</v>
      </c>
      <c r="G10" s="17" t="s">
        <v>289</v>
      </c>
    </row>
    <row r="11" customFormat="false" ht="23.85" hidden="false" customHeight="false" outlineLevel="0" collapsed="false">
      <c r="A11" s="17" t="str">
        <f aca="false">'Gap Assessment Matrix'!A25</f>
        <v>5.23</v>
      </c>
      <c r="B11" s="17" t="str">
        <f aca="false">'Gap Assessment Matrix'!B25</f>
        <v>Information security for use of cloud services</v>
      </c>
      <c r="C11" s="17" t="str">
        <f aca="false">'Gap Assessment Matrix'!F25</f>
        <v>Cloud vendor security is reviewed at onboarding only; no ongoing cloud security governance process.</v>
      </c>
      <c r="D11" s="17" t="str">
        <f aca="false">'Gap Assessment Matrix'!G25</f>
        <v>Medium</v>
      </c>
      <c r="E11" s="17" t="str">
        <f aca="false">'Gap Assessment Matrix'!I25</f>
        <v>Head of GRC</v>
      </c>
      <c r="F11" s="18" t="n">
        <f aca="false">'Gap Assessment Matrix'!H25</f>
        <v>46386</v>
      </c>
      <c r="G11" s="17" t="s">
        <v>289</v>
      </c>
    </row>
    <row r="12" customFormat="false" ht="23.85" hidden="false" customHeight="false" outlineLevel="0" collapsed="false">
      <c r="A12" s="17" t="str">
        <f aca="false">'Gap Assessment Matrix'!A37</f>
        <v>5.35</v>
      </c>
      <c r="B12" s="17" t="str">
        <f aca="false">'Gap Assessment Matrix'!B37</f>
        <v>Independent review of information security</v>
      </c>
      <c r="C12" s="17" t="str">
        <f aca="false">'Gap Assessment Matrix'!F37</f>
        <v>Last independent ISMS review was 19 months ago; no fixed review cadence is defined.</v>
      </c>
      <c r="D12" s="17" t="str">
        <f aca="false">'Gap Assessment Matrix'!G37</f>
        <v>Medium</v>
      </c>
      <c r="E12" s="17" t="str">
        <f aca="false">'Gap Assessment Matrix'!I37</f>
        <v>Head of GRC</v>
      </c>
      <c r="F12" s="18" t="n">
        <f aca="false">'Gap Assessment Matrix'!H37</f>
        <v>46386</v>
      </c>
      <c r="G12" s="17" t="s">
        <v>289</v>
      </c>
    </row>
    <row r="13" customFormat="false" ht="23.85" hidden="false" customHeight="false" outlineLevel="0" collapsed="false">
      <c r="A13" s="17" t="str">
        <f aca="false">'Gap Assessment Matrix'!A46</f>
        <v>6.7</v>
      </c>
      <c r="B13" s="17" t="str">
        <f aca="false">'Gap Assessment Matrix'!B46</f>
        <v>Remote working</v>
      </c>
      <c r="C13" s="17" t="str">
        <f aca="false">'Gap Assessment Matrix'!F46</f>
        <v>Remote working policy exists but is not technically enforced (e.g. no device posture check).</v>
      </c>
      <c r="D13" s="17" t="str">
        <f aca="false">'Gap Assessment Matrix'!G46</f>
        <v>Medium</v>
      </c>
      <c r="E13" s="17" t="str">
        <f aca="false">'Gap Assessment Matrix'!I46</f>
        <v>HR Director</v>
      </c>
      <c r="F13" s="18" t="n">
        <f aca="false">'Gap Assessment Matrix'!H46</f>
        <v>46386</v>
      </c>
      <c r="G13" s="17" t="s">
        <v>289</v>
      </c>
    </row>
    <row r="14" customFormat="false" ht="23.85" hidden="false" customHeight="false" outlineLevel="0" collapsed="false">
      <c r="A14" s="17" t="str">
        <f aca="false">'Gap Assessment Matrix'!A51</f>
        <v>7.4</v>
      </c>
      <c r="B14" s="17" t="str">
        <f aca="false">'Gap Assessment Matrix'!B51</f>
        <v>Physical security monitoring</v>
      </c>
      <c r="C14" s="17" t="str">
        <f aca="false">'Gap Assessment Matrix'!F51</f>
        <v>CCTV covers the main entrance only; the server room and other secure areas are not monitored.</v>
      </c>
      <c r="D14" s="17" t="str">
        <f aca="false">'Gap Assessment Matrix'!G51</f>
        <v>Medium</v>
      </c>
      <c r="E14" s="17" t="str">
        <f aca="false">'Gap Assessment Matrix'!I51</f>
        <v>Facilities Manager</v>
      </c>
      <c r="F14" s="18" t="n">
        <f aca="false">'Gap Assessment Matrix'!H51</f>
        <v>46386</v>
      </c>
      <c r="G14" s="17" t="s">
        <v>289</v>
      </c>
    </row>
    <row r="15" customFormat="false" ht="23.85" hidden="false" customHeight="false" outlineLevel="0" collapsed="false">
      <c r="A15" s="17" t="str">
        <f aca="false">'Gap Assessment Matrix'!A56</f>
        <v>7.9</v>
      </c>
      <c r="B15" s="17" t="str">
        <f aca="false">'Gap Assessment Matrix'!B56</f>
        <v>Security of assets off-premises</v>
      </c>
      <c r="C15" s="17" t="str">
        <f aca="false">'Gap Assessment Matrix'!F56</f>
        <v>No formal register of assets used off-premises; reliant on employee self-reporting.</v>
      </c>
      <c r="D15" s="17" t="str">
        <f aca="false">'Gap Assessment Matrix'!G56</f>
        <v>Medium</v>
      </c>
      <c r="E15" s="17" t="str">
        <f aca="false">'Gap Assessment Matrix'!I56</f>
        <v>Facilities Manager</v>
      </c>
      <c r="F15" s="18" t="n">
        <f aca="false">'Gap Assessment Matrix'!H56</f>
        <v>46386</v>
      </c>
      <c r="G15" s="17" t="s">
        <v>289</v>
      </c>
    </row>
    <row r="16" customFormat="false" ht="23.85" hidden="false" customHeight="false" outlineLevel="0" collapsed="false">
      <c r="A16" s="17" t="str">
        <f aca="false">'Gap Assessment Matrix'!A71</f>
        <v>8.10</v>
      </c>
      <c r="B16" s="17" t="str">
        <f aca="false">'Gap Assessment Matrix'!B71</f>
        <v>Information deletion</v>
      </c>
      <c r="C16" s="17" t="str">
        <f aca="false">'Gap Assessment Matrix'!F71</f>
        <v>Deletion occurs on request (e.g. DSAR) but there is no scheduled deletion against the retention schedule.</v>
      </c>
      <c r="D16" s="17" t="str">
        <f aca="false">'Gap Assessment Matrix'!G71</f>
        <v>Medium</v>
      </c>
      <c r="E16" s="17" t="str">
        <f aca="false">'Gap Assessment Matrix'!I71</f>
        <v>IT Security Manager</v>
      </c>
      <c r="F16" s="18" t="n">
        <f aca="false">'Gap Assessment Matrix'!H71</f>
        <v>46386</v>
      </c>
      <c r="G16" s="17" t="s">
        <v>289</v>
      </c>
    </row>
    <row r="17" customFormat="false" ht="23.85" hidden="false" customHeight="false" outlineLevel="0" collapsed="false">
      <c r="A17" s="17" t="str">
        <f aca="false">'Gap Assessment Matrix'!A84</f>
        <v>8.23</v>
      </c>
      <c r="B17" s="17" t="str">
        <f aca="false">'Gap Assessment Matrix'!B84</f>
        <v>Web filtering</v>
      </c>
      <c r="C17" s="17" t="str">
        <f aca="false">'Gap Assessment Matrix'!F84</f>
        <v>Web filtering is enabled for malware categories only; no policy-based category filtering.</v>
      </c>
      <c r="D17" s="17" t="str">
        <f aca="false">'Gap Assessment Matrix'!G84</f>
        <v>Medium</v>
      </c>
      <c r="E17" s="17" t="str">
        <f aca="false">'Gap Assessment Matrix'!I84</f>
        <v>IT Security Manager</v>
      </c>
      <c r="F17" s="18" t="n">
        <f aca="false">'Gap Assessment Matrix'!H84</f>
        <v>46386</v>
      </c>
      <c r="G17" s="17" t="s">
        <v>289</v>
      </c>
    </row>
    <row r="18" customFormat="false" ht="23.85" hidden="false" customHeight="false" outlineLevel="0" collapsed="false">
      <c r="A18" s="17" t="str">
        <f aca="false">'Gap Assessment Matrix'!A89</f>
        <v>8.28</v>
      </c>
      <c r="B18" s="17" t="str">
        <f aca="false">'Gap Assessment Matrix'!B89</f>
        <v>Secure coding</v>
      </c>
      <c r="C18" s="17" t="str">
        <f aca="false">'Gap Assessment Matrix'!F89</f>
        <v>Secure coding guidelines exist but are not enforced via automated code review or linting.</v>
      </c>
      <c r="D18" s="17" t="str">
        <f aca="false">'Gap Assessment Matrix'!G89</f>
        <v>Medium</v>
      </c>
      <c r="E18" s="17" t="str">
        <f aca="false">'Gap Assessment Matrix'!I89</f>
        <v>Head of Engineering</v>
      </c>
      <c r="F18" s="18" t="n">
        <f aca="false">'Gap Assessment Matrix'!H89</f>
        <v>46386</v>
      </c>
      <c r="G18" s="17" t="s">
        <v>289</v>
      </c>
    </row>
    <row r="19" customFormat="false" ht="23.85" hidden="false" customHeight="false" outlineLevel="0" collapsed="false">
      <c r="A19" s="17" t="str">
        <f aca="false">'Gap Assessment Matrix'!A69</f>
        <v>8.8</v>
      </c>
      <c r="B19" s="17" t="str">
        <f aca="false">'Gap Assessment Matrix'!B69</f>
        <v>Management of technical vulnerabilities</v>
      </c>
      <c r="C19" s="17" t="str">
        <f aca="false">'Gap Assessment Matrix'!F69</f>
        <v>Vulnerability scanning is performed quarterly; no formal SLA for remediation by severity.</v>
      </c>
      <c r="D19" s="17" t="str">
        <f aca="false">'Gap Assessment Matrix'!G69</f>
        <v>Medium</v>
      </c>
      <c r="E19" s="17" t="str">
        <f aca="false">'Gap Assessment Matrix'!I69</f>
        <v>IT Security Manager</v>
      </c>
      <c r="F19" s="18" t="n">
        <f aca="false">'Gap Assessment Matrix'!H69</f>
        <v>46386</v>
      </c>
      <c r="G19" s="17" t="s">
        <v>289</v>
      </c>
    </row>
  </sheetData>
  <mergeCells count="1">
    <mergeCell ref="A1:G1"/>
  </mergeCells>
  <conditionalFormatting sqref="D3:D19">
    <cfRule type="expression" priority="2" aboveAverage="0" equalAverage="0" bottom="0" percent="0" rank="0" text="" dxfId="0">
      <formula>$D3="High"</formula>
    </cfRule>
    <cfRule type="expression" priority="3" aboveAverage="0" equalAverage="0" bottom="0" percent="0" rank="0" text="" dxfId="1">
      <formula>$D3="Medium"</formula>
    </cfRule>
  </conditionalFormatting>
  <conditionalFormatting sqref="G3:G19">
    <cfRule type="expression" priority="4" aboveAverage="0" equalAverage="0" bottom="0" percent="0" rank="0" text="" dxfId="2">
      <formula>$G3="Complete"</formula>
    </cfRule>
  </conditionalFormatting>
  <dataValidations count="1">
    <dataValidation allowBlank="false" errorStyle="stop" operator="between" showDropDown="false" showErrorMessage="false" showInputMessage="false" sqref="G3:G19" type="list">
      <formula1>"Not Started,In Progress,Complete"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7" min="6" style="0" width="16"/>
  </cols>
  <sheetData>
    <row r="1" customFormat="false" ht="15" hidden="false" customHeight="false" outlineLevel="0" collapsed="false">
      <c r="A1" s="15" t="s">
        <v>290</v>
      </c>
      <c r="B1" s="20" t="s">
        <v>291</v>
      </c>
      <c r="C1" s="15" t="s">
        <v>290</v>
      </c>
      <c r="D1" s="15" t="s">
        <v>292</v>
      </c>
      <c r="F1" s="15" t="s">
        <v>50</v>
      </c>
      <c r="G1" s="15" t="s">
        <v>293</v>
      </c>
    </row>
    <row r="2" customFormat="false" ht="15" hidden="false" customHeight="false" outlineLevel="0" collapsed="false">
      <c r="C2" s="0" t="s">
        <v>40</v>
      </c>
      <c r="D2" s="0" t="n">
        <v>0</v>
      </c>
      <c r="F2" s="0" t="s">
        <v>23</v>
      </c>
      <c r="G2" s="0" t="n">
        <v>60</v>
      </c>
    </row>
    <row r="3" customFormat="false" ht="15" hidden="false" customHeight="false" outlineLevel="0" collapsed="false">
      <c r="C3" s="0" t="s">
        <v>41</v>
      </c>
      <c r="D3" s="0" t="n">
        <v>1</v>
      </c>
      <c r="F3" s="0" t="s">
        <v>25</v>
      </c>
      <c r="G3" s="0" t="n">
        <v>120</v>
      </c>
    </row>
    <row r="4" customFormat="false" ht="15" hidden="false" customHeight="false" outlineLevel="0" collapsed="false">
      <c r="C4" s="0" t="s">
        <v>42</v>
      </c>
      <c r="D4" s="0" t="n">
        <v>2</v>
      </c>
      <c r="F4" s="0" t="s">
        <v>27</v>
      </c>
      <c r="G4" s="0" t="n">
        <v>180</v>
      </c>
    </row>
    <row r="5" customFormat="false" ht="15" hidden="false" customHeight="false" outlineLevel="0" collapsed="false">
      <c r="C5" s="0" t="s">
        <v>43</v>
      </c>
      <c r="D5" s="0" t="n">
        <v>3</v>
      </c>
      <c r="F5" s="0" t="s">
        <v>29</v>
      </c>
    </row>
    <row r="6" customFormat="false" ht="15" hidden="false" customHeight="false" outlineLevel="0" collapsed="false">
      <c r="C6" s="0" t="s">
        <v>44</v>
      </c>
      <c r="D6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2026-09-24T16:18:37Z</dcterms:created>
  <dc:creator>openpyxl</dc:creator>
  <dc:description/>
  <dc:language>en-US</dc:language>
  <cp:lastModifiedBy/>
  <dcterms:modified xsi:type="dcterms:W3CDTF">2026-09-24T16:18:39Z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